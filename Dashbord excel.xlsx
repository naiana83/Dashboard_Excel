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svg" ContentType="image/svg+xml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drawings/drawing4.xml" ContentType="application/vnd.openxmlformats-officedocument.drawing+xml"/>
  <Override PartName="/xl/slicers/slicer1.xml" ContentType="application/vnd.ms-excel.slicer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12465" yWindow="-15" windowWidth="12375" windowHeight="13230" activeTab="3"/>
  </bookViews>
  <sheets>
    <sheet name="A̳ssets" sheetId="1" r:id="rId1"/>
    <sheet name="B̳ases" sheetId="2" r:id="rId2"/>
    <sheet name="C̳álculos" sheetId="3" r:id="rId3"/>
    <sheet name="D̳ashboard" sheetId="4" r:id="rId4"/>
  </sheets>
  <definedNames>
    <definedName name="SegmentaçãodeDados_Subscription_Type">#N/A</definedName>
  </definedNames>
  <calcPr calcId="144525"/>
  <pivotCaches>
    <pivotCache cacheId="7" r:id="rId5"/>
  </pivotCaches>
  <fileRecoveryPr repairLoad="1"/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</extLst>
</workbook>
</file>

<file path=xl/calcChain.xml><?xml version="1.0" encoding="utf-8"?>
<calcChain xmlns="http://schemas.openxmlformats.org/spreadsheetml/2006/main">
  <c r="E31" i="3" l="1"/>
  <c r="E26" i="3" l="1"/>
</calcChain>
</file>

<file path=xl/sharedStrings.xml><?xml version="1.0" encoding="utf-8"?>
<sst xmlns="http://schemas.openxmlformats.org/spreadsheetml/2006/main" count="2030" uniqueCount="327">
  <si>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</si>
  <si>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</si>
  <si>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</si>
  <si>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</si>
  <si>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</si>
  <si>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</si>
  <si>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</si>
  <si>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</si>
  <si>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</si>
  <si>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</si>
  <si>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</si>
  <si>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</si>
  <si>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</si>
  <si>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</si>
  <si>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</si>
  <si>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</si>
  <si>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</si>
  <si>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</si>
  <si>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</si>
  <si>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</si>
  <si>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</si>
  <si>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</si>
  <si>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</si>
  <si>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</si>
  <si>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</si>
  <si>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</si>
  <si>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</si>
  <si>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</si>
  <si>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</si>
  <si>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</si>
  <si>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</si>
  <si>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</si>
  <si>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</si>
  <si>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</si>
  <si>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</si>
  <si>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</si>
  <si>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</si>
  <si>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</si>
  <si>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</si>
  <si>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</si>
  <si>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</si>
  <si>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</si>
  <si>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</si>
  <si>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</si>
  <si>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</si>
  <si>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</si>
  <si>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</si>
  <si>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</si>
  <si>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</si>
  <si>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</si>
  <si>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</si>
  <si>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</si>
  <si>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</si>
  <si>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</si>
  <si>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</si>
  <si>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</si>
  <si>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</si>
  <si>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</si>
  <si>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</si>
  <si>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</si>
  <si>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</si>
  <si>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</si>
  <si>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</si>
  <si>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</si>
  <si>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</si>
  <si>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</si>
  <si>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</si>
  <si>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</si>
  <si>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</si>
  <si>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</si>
  <si>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</si>
  <si>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</si>
  <si>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</si>
  <si>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</si>
  <si>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</si>
  <si>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</si>
  <si>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</si>
  <si>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</si>
  <si>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</si>
  <si>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</si>
  <si>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</si>
  <si>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</si>
  <si>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</si>
  <si>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</si>
  <si>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</si>
  <si>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</si>
  <si>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</si>
  <si>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</si>
  <si>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</si>
  <si>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</si>
  <si>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</si>
  <si>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</si>
  <si>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</si>
  <si>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</si>
  <si>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</si>
  <si>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</si>
  <si>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</si>
  <si>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</si>
  <si>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</si>
  <si>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</si>
  <si>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</si>
  <si>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</si>
  <si>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</si>
  <si>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</si>
  <si>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</si>
  <si>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</si>
  <si>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</si>
  <si>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</si>
  <si>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</si>
  <si>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</si>
  <si>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</si>
  <si>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</si>
  <si>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</si>
  <si>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</si>
  <si>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</si>
  <si>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</si>
  <si>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</si>
  <si>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</si>
  <si>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</si>
  <si>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</si>
  <si>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</si>
  <si>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</si>
  <si>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</si>
  <si>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</si>
  <si>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</si>
  <si>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</si>
  <si>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</si>
  <si>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</si>
  <si>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</si>
  <si>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</si>
  <si>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</si>
  <si>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</si>
  <si>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</si>
  <si>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</si>
  <si>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</si>
  <si>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</si>
  <si>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</si>
  <si>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</si>
  <si>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</si>
  <si>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</si>
  <si>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</si>
  <si>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</si>
  <si>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</si>
  <si>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</si>
  <si>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</si>
  <si>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</si>
  <si>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</si>
  <si>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</si>
  <si>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</si>
  <si>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</si>
  <si>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</si>
  <si>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</si>
  <si>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</si>
  <si>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</si>
  <si>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</si>
  <si>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</si>
  <si>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</si>
  <si>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</si>
  <si>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</si>
  <si>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</si>
  <si>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</si>
  <si>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</si>
  <si>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</si>
  <si>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</si>
  <si>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</si>
  <si>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</si>
  <si>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</si>
  <si>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</si>
  <si>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</si>
  <si>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</si>
  <si>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</si>
  <si>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</si>
  <si>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</si>
  <si>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</si>
  <si>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</si>
  <si>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</si>
  <si>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</si>
  <si>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</si>
  <si>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</si>
  <si>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</si>
  <si>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</si>
  <si>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</si>
  <si>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</si>
  <si>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</si>
  <si>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</si>
  <si>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</si>
  <si>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</si>
  <si>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</si>
  <si>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</si>
  <si>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</si>
  <si>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</si>
  <si>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</si>
  <si>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</si>
  <si>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</si>
  <si>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</si>
  <si>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</si>
  <si>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</si>
  <si>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</si>
  <si>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</si>
  <si>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</si>
  <si>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</si>
  <si>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</si>
  <si>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</si>
  <si>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</si>
  <si>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</si>
  <si>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</si>
  <si>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</si>
  <si>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</si>
  <si>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</si>
  <si>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</si>
  <si>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</si>
  <si>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</si>
  <si>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</si>
  <si>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</si>
  <si>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</si>
  <si>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</si>
  <si>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</si>
  <si>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</si>
  <si>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</si>
  <si>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</si>
  <si>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</si>
  <si>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</si>
  <si>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</si>
  <si>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</si>
  <si>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</si>
  <si>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</si>
  <si>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</si>
  <si>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</si>
  <si>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</si>
  <si>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</si>
  <si>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</si>
  <si>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</si>
  <si>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</si>
  <si>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</si>
  <si>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</si>
  <si>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</si>
  <si>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</si>
  <si>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</si>
  <si>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</si>
  <si>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</si>
  <si>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</si>
  <si>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</si>
  <si>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</si>
  <si>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</si>
  <si>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</si>
  <si>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</si>
  <si>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</si>
  <si>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</si>
  <si>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</si>
  <si>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</si>
  <si>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</si>
  <si>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</si>
  <si>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</si>
  <si>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</si>
  <si>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</si>
  <si>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</si>
  <si>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</si>
  <si>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</si>
  <si>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</si>
  <si>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</si>
  <si>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</si>
  <si>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</si>
  <si>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</si>
  <si>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</si>
  <si>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</si>
  <si>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</si>
  <si>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</si>
  <si>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</si>
  <si>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</si>
  <si>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</si>
  <si>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</si>
  <si>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</si>
  <si>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</si>
  <si>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</si>
  <si>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</si>
  <si>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</si>
  <si>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</si>
  <si>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</si>
  <si>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</si>
  <si>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</si>
  <si>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</si>
  <si>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</si>
  <si>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</si>
  <si>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</si>
  <si>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</si>
  <si>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</si>
  <si>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</si>
  <si>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</si>
  <si>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</si>
  <si>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</si>
  <si>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</si>
  <si>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</si>
  <si>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</si>
  <si>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</si>
  <si>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</si>
  <si>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</si>
  <si>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</si>
  <si>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</si>
  <si>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</si>
  <si>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</si>
  <si>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</si>
  <si>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</si>
  <si>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</si>
  <si>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</si>
  <si>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</si>
  <si>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</si>
  <si>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</si>
  <si>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</si>
  <si>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</si>
  <si>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</si>
  <si>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</si>
  <si>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</si>
  <si>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</si>
  <si>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Rótulos de Linha</t>
  </si>
  <si>
    <t>Total Geral</t>
  </si>
  <si>
    <t>Soma de Total Value</t>
  </si>
  <si>
    <t>(Tudo)</t>
  </si>
  <si>
    <r>
      <t xml:space="preserve">Pergunta 1 - </t>
    </r>
    <r>
      <rPr>
        <b/>
        <sz val="11"/>
        <color theme="1"/>
        <rFont val="Aptos Narrow"/>
        <scheme val="minor"/>
      </rPr>
      <t>Total de Vendas</t>
    </r>
    <r>
      <rPr>
        <sz val="11"/>
        <color theme="1"/>
        <rFont val="Aptos Narrow"/>
        <family val="2"/>
        <scheme val="minor"/>
      </rPr>
      <t xml:space="preserve"> por </t>
    </r>
    <r>
      <rPr>
        <b/>
        <sz val="11"/>
        <color theme="1"/>
        <rFont val="Aptos Narrow"/>
        <scheme val="minor"/>
      </rPr>
      <t xml:space="preserve">plano </t>
    </r>
    <r>
      <rPr>
        <sz val="11"/>
        <color theme="1"/>
        <rFont val="Aptos Narrow"/>
        <family val="2"/>
        <scheme val="minor"/>
      </rPr>
      <t>adquirido</t>
    </r>
  </si>
  <si>
    <t>Soma de Coupon Value</t>
  </si>
  <si>
    <r>
      <t>Pergunta 2 - Faturamento</t>
    </r>
    <r>
      <rPr>
        <b/>
        <sz val="11"/>
        <color theme="1"/>
        <rFont val="Aptos Narrow"/>
        <scheme val="minor"/>
      </rPr>
      <t xml:space="preserve"> total</t>
    </r>
    <r>
      <rPr>
        <sz val="11"/>
        <color theme="1"/>
        <rFont val="Aptos Narrow"/>
        <family val="2"/>
        <scheme val="minor"/>
      </rPr>
      <t xml:space="preserve"> dos Planos separados por </t>
    </r>
    <r>
      <rPr>
        <b/>
        <sz val="11"/>
        <color theme="1"/>
        <rFont val="Aptos Narrow"/>
        <scheme val="minor"/>
      </rPr>
      <t xml:space="preserve"> Auto renovação</t>
    </r>
  </si>
  <si>
    <t>#b8d1e7</t>
  </si>
  <si>
    <t>#8fbfec</t>
  </si>
  <si>
    <t>#64a6e3</t>
  </si>
  <si>
    <t>#3e8fd8</t>
  </si>
  <si>
    <r>
      <t xml:space="preserve">          </t>
    </r>
    <r>
      <rPr>
        <b/>
        <sz val="16"/>
        <color theme="1"/>
        <rFont val="Segoe MDL2 Assets"/>
        <family val="1"/>
      </rPr>
      <t xml:space="preserve"> XBOX GAME PASS SUBSCRIPTIONS SALES</t>
    </r>
  </si>
  <si>
    <r>
      <t xml:space="preserve">Pergunta 3 - </t>
    </r>
    <r>
      <rPr>
        <sz val="11"/>
        <color theme="1"/>
        <rFont val="Aptos Narrow"/>
        <scheme val="minor"/>
      </rPr>
      <t>Valor</t>
    </r>
    <r>
      <rPr>
        <b/>
        <sz val="11"/>
        <color theme="1"/>
        <rFont val="Aptos Narrow"/>
        <scheme val="minor"/>
      </rPr>
      <t xml:space="preserve"> total de descontos</t>
    </r>
  </si>
  <si>
    <t>Período calculado: 01/01/2024 - 31/12/2024 | Ultima Atualização: 26/05/2026 16:52:00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</si>
</sst>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-&quot;R$&quot;\ * #,##0.00_-;\-&quot;R$&quot;\ * #,##0.00_-;_-&quot;R$&quot;\ * &quot;-&quot;??_-;_-@_-"/>
    <numFmt numFmtId="165" formatCode="&quot;R$&quot;\ #,##0.00"/>
  </numFmts>
  <fonts count="12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b/>
      <sz val="11"/>
      <color theme="1"/>
      <name val="Aptos Narrow"/>
      <scheme val="minor"/>
    </font>
    <font>
      <sz val="11"/>
      <color theme="1"/>
      <name val="Aptos Narrow"/>
      <scheme val="minor"/>
    </font>
    <font>
      <i/>
      <sz val="11"/>
      <color theme="1"/>
      <name val="Aptos Narrow"/>
      <scheme val="minor"/>
    </font>
    <font>
      <sz val="11"/>
      <color theme="1"/>
      <name val="Segoe MDL2 Assets"/>
      <family val="1"/>
    </font>
    <font>
      <sz val="16"/>
      <color theme="1"/>
      <name val="Segoe MDL2 Assets"/>
      <family val="1"/>
    </font>
    <font>
      <b/>
      <sz val="16"/>
      <color theme="1"/>
      <name val="Segoe MDL2 Assets"/>
      <family val="1"/>
    </font>
    <font>
      <sz val="10.5"/>
      <color rgb="FF7F7F7F"/>
      <name val="Aptos Narrow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rgb="FFC6EFCE"/>
      </patternFill>
    </fill>
    <fill>
      <patternFill patternType="solid">
        <fgColor rgb="FFB8D1E7"/>
        <bgColor indexed="64"/>
      </patternFill>
    </fill>
    <fill>
      <patternFill patternType="solid">
        <fgColor rgb="FF8FBFEC"/>
        <bgColor indexed="64"/>
      </patternFill>
    </fill>
    <fill>
      <patternFill patternType="solid">
        <fgColor rgb="FF64A6E3"/>
        <bgColor indexed="64"/>
      </patternFill>
    </fill>
    <fill>
      <patternFill patternType="solid">
        <fgColor rgb="FF3E8FD8"/>
        <bgColor indexed="64"/>
      </patternFill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  <xf numFmtId="0" fontId="4" fillId="8" borderId="0" applyNumberFormat="0" applyBorder="0" applyAlignment="0" applyProtection="0"/>
  </cellStyleXfs>
  <cellXfs count="26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7" fillId="12" borderId="0" xfId="0" applyFont="1" applyFill="1"/>
    <xf numFmtId="0" fontId="4" fillId="10" borderId="0" xfId="3" applyFill="1"/>
    <xf numFmtId="0" fontId="9" fillId="0" borderId="0" xfId="0" applyFont="1" applyBorder="1"/>
    <xf numFmtId="0" fontId="0" fillId="13" borderId="0" xfId="0" applyFill="1"/>
    <xf numFmtId="0" fontId="11" fillId="13" borderId="0" xfId="0" applyFont="1" applyFill="1" applyAlignment="1">
      <alignment horizontal="left" vertical="center"/>
    </xf>
    <xf numFmtId="0" fontId="8" fillId="13" borderId="0" xfId="0" applyFont="1" applyFill="1"/>
    <xf numFmtId="165" fontId="0" fillId="0" borderId="0" xfId="0" applyNumberFormat="1"/>
    <xf numFmtId="0" fontId="0" fillId="11" borderId="0" xfId="0" applyFill="1" applyBorder="1"/>
  </cellXfs>
  <cellStyles count="4">
    <cellStyle name="Bom" xfId="3" builtinId="26"/>
    <cellStyle name="Moeda" xfId="2" builtinId="4"/>
    <cellStyle name="Normal" xfId="0" builtinId="0"/>
    <cellStyle name="Título 1" xfId="1" builtinId="16"/>
  </cellStyles>
  <dxfs count="18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color theme="1"/>
      </font>
      <fill>
        <patternFill>
          <bgColor theme="0"/>
        </patternFill>
      </fill>
      <border>
        <bottom style="thin">
          <color rgb="FF4F81BD"/>
        </bottom>
        <vertical/>
        <horizontal/>
      </border>
    </dxf>
    <dxf>
      <font>
        <color theme="1"/>
      </font>
      <fill>
        <patternFill>
          <bgColor rgb="FF8FBFEC"/>
        </patternFill>
      </fill>
      <border diagonalUp="0" diagonalDown="0">
        <left/>
        <right/>
        <top/>
        <bottom/>
        <vertical/>
        <horizontal/>
      </border>
    </dxf>
    <dxf>
      <font>
        <b/>
        <color theme="1"/>
      </font>
      <border>
        <bottom style="thin">
          <color theme="4"/>
        </bottom>
        <vertical/>
        <horizontal/>
      </border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</dxfs>
  <tableStyles count="2" defaultTableStyle="TableStyleMedium2" defaultPivotStyle="PivotStyleLight16">
    <tableStyle name="SlicerStyleLight1 2" pivot="0" table="0" count="10">
      <tableStyleElement type="wholeTable" dxfId="17"/>
      <tableStyleElement type="headerRow" dxfId="16"/>
    </tableStyle>
    <tableStyle name="SlicerStyleOther2 2" pivot="0" table="0" count="10">
      <tableStyleElement type="wholeTable" dxfId="15"/>
      <tableStyleElement type="headerRow" dxfId="14"/>
    </tableStyle>
  </tableStyles>
  <colors>
    <mruColors>
      <color rgb="FF64A6E3"/>
      <color rgb="FF8FBFEC"/>
      <color rgb="FF3E8FD8"/>
      <color rgb="FFB8D1E7"/>
      <color rgb="FF22C55E"/>
      <color rgb="FFE8E6E9"/>
      <color rgb="FF5BF6A8"/>
      <color rgb="FF000000"/>
      <color rgb="FFE0E0E0"/>
      <color rgb="FFEDEDED"/>
    </mruColors>
  </colors>
  <extLst>
    <ext xmlns:x14="http://schemas.microsoft.com/office/spreadsheetml/2009/9/main" uri="{46F421CA-312F-682f-3DD2-61675219B42D}">
      <x14:dxfs count="16">
        <dxf>
          <font>
            <color theme="1"/>
          </font>
          <fill>
            <gradientFill degree="90">
              <stop position="0">
                <color rgb="FFF8E162"/>
              </stop>
              <stop position="1">
                <color rgb="FFFCF7F4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1"/>
          </font>
          <fill>
            <gradientFill degree="90">
              <stop position="0">
                <color rgb="FFF8E162"/>
              </stop>
              <stop position="1">
                <color rgb="FFFCF7F4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1"/>
          </font>
          <fill>
            <gradientFill degree="90">
              <stop position="0">
                <color rgb="FFF8E162"/>
              </stop>
              <stop position="1">
                <color rgb="FFFCF7F4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1"/>
          </font>
          <fill>
            <gradientFill degree="90">
              <stop position="0">
                <color rgb="FFF8E162"/>
              </stop>
              <stop position="1">
                <color rgb="FFFCF7F4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gradientFill degree="90">
              <stop position="0">
                <color rgb="FFD1E0F5"/>
              </stop>
              <stop position="1">
                <color rgb="FFE9F2FB"/>
              </stop>
            </gradient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A3BBDF"/>
              </stop>
              <stop position="1">
                <color rgb="FFCADEF6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gradientFill degree="90">
              <stop position="0">
                <color rgb="FFF2F4F6"/>
              </stop>
              <stop position="1">
                <color rgb="FFFEFEFE"/>
              </stop>
            </gradient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E8EBEE"/>
              </stop>
              <stop position="1">
                <color rgb="FFF8F8FA"/>
              </stop>
            </gradient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4" tint="0.79998168889431442"/>
              <bgColor theme="4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4" tint="0.59999389629810485"/>
              <bgColor theme="4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1 2">
          <x14:slicerStyleElements>
            <x14:slicerStyleElement type="unselectedItemWithData" dxfId="15"/>
            <x14:slicerStyleElement type="unselectedItemWithNoData" dxfId="14"/>
            <x14:slicerStyleElement type="selectedItemWithData" dxfId="13"/>
            <x14:slicerStyleElement type="selectedItemWithNoData" dxfId="12"/>
            <x14:slicerStyleElement type="hoveredUnselectedItemWithData" dxfId="11"/>
            <x14:slicerStyleElement type="hoveredSelectedItemWithData" dxfId="10"/>
            <x14:slicerStyleElement type="hoveredUnselectedItemWithNoData" dxfId="9"/>
            <x14:slicerStyleElement type="hoveredSelectedItemWithNoData" dxfId="8"/>
          </x14:slicerStyleElements>
        </x14:slicerStyle>
        <x14:slicerStyle name="SlicerStyleOther2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[Dashbord excel.xlsx]C̳álculos!tab_Total_Vendas</c:name>
    <c:fmtId val="0"/>
  </c:pivotSource>
  <c:chart>
    <c:title>
      <c:layout/>
      <c:overlay val="0"/>
    </c:title>
    <c:autoTitleDeleted val="0"/>
    <c:pivotFmts>
      <c:pivotFmt>
        <c:idx val="0"/>
        <c:marker>
          <c:symbol val="none"/>
        </c:marker>
        <c:dLbl>
          <c:idx val="0"/>
          <c:layout/>
          <c:spPr/>
          <c:txPr>
            <a:bodyPr/>
            <a:lstStyle/>
            <a:p>
              <a:pPr>
                <a:defRPr/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C̳álculos!$B$10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dLbls>
            <c:spPr/>
            <c:txPr>
              <a:bodyPr/>
              <a:lstStyle/>
              <a:p>
                <a:pPr>
                  <a:defRPr/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C̳álculos!$A$11:$A$14</c:f>
              <c:strCache>
                <c:ptCount val="3"/>
                <c:pt idx="0">
                  <c:v>Core</c:v>
                </c:pt>
                <c:pt idx="1">
                  <c:v>Standard</c:v>
                </c:pt>
                <c:pt idx="2">
                  <c:v>Ultimate</c:v>
                </c:pt>
              </c:strCache>
            </c:strRef>
          </c:cat>
          <c:val>
            <c:numRef>
              <c:f>C̳álculos!$B$11:$B$14</c:f>
              <c:numCache>
                <c:formatCode>General</c:formatCode>
                <c:ptCount val="3"/>
                <c:pt idx="0">
                  <c:v>132</c:v>
                </c:pt>
                <c:pt idx="1">
                  <c:v>395</c:v>
                </c:pt>
                <c:pt idx="2">
                  <c:v>1781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1859456"/>
        <c:axId val="181860992"/>
      </c:barChart>
      <c:catAx>
        <c:axId val="181859456"/>
        <c:scaling>
          <c:orientation val="minMax"/>
        </c:scaling>
        <c:delete val="0"/>
        <c:axPos val="l"/>
        <c:majorTickMark val="out"/>
        <c:minorTickMark val="none"/>
        <c:tickLblPos val="nextTo"/>
        <c:crossAx val="181860992"/>
        <c:crosses val="autoZero"/>
        <c:auto val="1"/>
        <c:lblAlgn val="ctr"/>
        <c:lblOffset val="100"/>
        <c:noMultiLvlLbl val="0"/>
      </c:catAx>
      <c:valAx>
        <c:axId val="18186099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81859456"/>
        <c:crosses val="autoZero"/>
        <c:crossBetween val="between"/>
      </c:valAx>
    </c:plotArea>
    <c:plotVisOnly val="1"/>
    <c:dispBlanksAs val="gap"/>
    <c:showDLblsOverMax val="0"/>
  </c:chart>
  <c:spPr>
    <a:noFill/>
  </c:sp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Categories val="1"/>
        <c14:dropZoneData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[Dashbord excel.xlsx]C̳álculos!tab_Total_Vendas</c:name>
    <c:fmtId val="6"/>
  </c:pivotSource>
  <c:chart>
    <c:autoTitleDeleted val="1"/>
    <c:pivotFmts>
      <c:pivotFmt>
        <c:idx val="0"/>
        <c:dLbl>
          <c:idx val="0"/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1"/>
        <c:dLbl>
          <c:idx val="0"/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2"/>
        <c:dLbl>
          <c:idx val="0"/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3"/>
        <c:dLbl>
          <c:idx val="0"/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4"/>
        <c:dLbl>
          <c:idx val="0"/>
          <c:layout/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5"/>
        <c:spPr>
          <a:solidFill>
            <a:srgbClr val="64A6E3"/>
          </a:solidFill>
        </c:spPr>
      </c:pivotFmt>
      <c:pivotFmt>
        <c:idx val="6"/>
        <c:spPr>
          <a:solidFill>
            <a:srgbClr val="64A6E3"/>
          </a:solidFill>
        </c:spPr>
      </c:pivotFmt>
      <c:pivotFmt>
        <c:idx val="7"/>
        <c:spPr>
          <a:solidFill>
            <a:srgbClr val="64A6E3"/>
          </a:solidFill>
          <a:ln>
            <a:noFill/>
          </a:ln>
        </c:spPr>
      </c:pivotFmt>
    </c:pivotFmts>
    <c:plotArea>
      <c:layout>
        <c:manualLayout>
          <c:layoutTarget val="inner"/>
          <c:xMode val="edge"/>
          <c:yMode val="edge"/>
          <c:x val="5.7515831797621042E-2"/>
          <c:y val="0.1422222127419264"/>
          <c:w val="0.94248416820237901"/>
          <c:h val="0.76403431144211564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C̳álculos!$B$10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dPt>
            <c:idx val="0"/>
            <c:invertIfNegative val="0"/>
            <c:bubble3D val="0"/>
            <c:spPr>
              <a:solidFill>
                <a:srgbClr val="64A6E3"/>
              </a:solidFill>
              <a:ln>
                <a:noFill/>
              </a:ln>
            </c:spPr>
          </c:dPt>
          <c:dPt>
            <c:idx val="1"/>
            <c:invertIfNegative val="0"/>
            <c:bubble3D val="0"/>
            <c:spPr>
              <a:solidFill>
                <a:srgbClr val="64A6E3"/>
              </a:solidFill>
            </c:spPr>
          </c:dPt>
          <c:dPt>
            <c:idx val="2"/>
            <c:invertIfNegative val="0"/>
            <c:bubble3D val="0"/>
            <c:spPr>
              <a:solidFill>
                <a:srgbClr val="64A6E3"/>
              </a:solidFill>
            </c:spPr>
          </c:dPt>
          <c:dLbls>
            <c:spPr/>
            <c:txPr>
              <a:bodyPr/>
              <a:lstStyle/>
              <a:p>
                <a:pPr>
                  <a:defRPr/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C̳álculos!$A$11:$A$14</c:f>
              <c:strCache>
                <c:ptCount val="3"/>
                <c:pt idx="0">
                  <c:v>Core</c:v>
                </c:pt>
                <c:pt idx="1">
                  <c:v>Standard</c:v>
                </c:pt>
                <c:pt idx="2">
                  <c:v>Ultimate</c:v>
                </c:pt>
              </c:strCache>
            </c:strRef>
          </c:cat>
          <c:val>
            <c:numRef>
              <c:f>C̳álculos!$B$11:$B$14</c:f>
              <c:numCache>
                <c:formatCode>General</c:formatCode>
                <c:ptCount val="3"/>
                <c:pt idx="0">
                  <c:v>132</c:v>
                </c:pt>
                <c:pt idx="1">
                  <c:v>395</c:v>
                </c:pt>
                <c:pt idx="2">
                  <c:v>1781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2"/>
        <c:overlap val="17"/>
        <c:axId val="44611456"/>
        <c:axId val="144914304"/>
      </c:barChart>
      <c:catAx>
        <c:axId val="44611456"/>
        <c:scaling>
          <c:orientation val="minMax"/>
        </c:scaling>
        <c:delete val="0"/>
        <c:axPos val="l"/>
        <c:majorTickMark val="out"/>
        <c:minorTickMark val="none"/>
        <c:tickLblPos val="nextTo"/>
        <c:crossAx val="144914304"/>
        <c:crosses val="autoZero"/>
        <c:auto val="1"/>
        <c:lblAlgn val="ctr"/>
        <c:lblOffset val="100"/>
        <c:noMultiLvlLbl val="0"/>
      </c:catAx>
      <c:valAx>
        <c:axId val="14491430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4611456"/>
        <c:crosses val="autoZero"/>
        <c:crossBetween val="between"/>
      </c:valAx>
      <c:spPr>
        <a:solidFill>
          <a:schemeClr val="bg2"/>
        </a:solidFill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Categories val="1"/>
        <c14:dropZoneData val="1"/>
      </c14:pivotOptions>
    </c:ext>
  </c:extLst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png"/><Relationship Id="rId3" Type="http://schemas.openxmlformats.org/officeDocument/2006/relationships/image" Target="../media/image3.png"/><Relationship Id="rId7" Type="http://schemas.openxmlformats.org/officeDocument/2006/relationships/image" Target="../media/image6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5.png"/><Relationship Id="rId11" Type="http://schemas.openxmlformats.org/officeDocument/2006/relationships/image" Target="../media/image9.wmf"/><Relationship Id="rId5" Type="http://schemas.openxmlformats.org/officeDocument/2006/relationships/image" Target="../media/image4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8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png"/><Relationship Id="rId2" Type="http://schemas.openxmlformats.org/officeDocument/2006/relationships/image" Target="../media/image2.png"/><Relationship Id="rId1" Type="http://schemas.openxmlformats.org/officeDocument/2006/relationships/image" Target="../media/image5.png"/><Relationship Id="rId5" Type="http://schemas.openxmlformats.org/officeDocument/2006/relationships/chart" Target="../charts/chart2.xml"/><Relationship Id="rId4" Type="http://schemas.openxmlformats.org/officeDocument/2006/relationships/image" Target="../media/image9.w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5</xdr:row>
      <xdr:rowOff>0</xdr:rowOff>
    </xdr:from>
    <xdr:to>
      <xdr:col>7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xmlns="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xmlns="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xmlns="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xmlns="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xmlns="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xmlns="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xmlns="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xmlns="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xmlns="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xmlns="" id="{A71E6AF1-ADEE-EB3B-0380-7B4EF5640C97}"/>
            </a:ext>
          </a:extLst>
        </xdr:cNvPr>
        <xdr:cNvGrpSpPr/>
      </xdr:nvGrpSpPr>
      <xdr:grpSpPr>
        <a:xfrm>
          <a:off x="1133475" y="5172074"/>
          <a:ext cx="1778076" cy="7143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xmlns="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xmlns="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xmlns="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  <xdr:twoCellAnchor editAs="oneCell">
    <xdr:from>
      <xdr:col>7</xdr:col>
      <xdr:colOff>0</xdr:colOff>
      <xdr:row>27</xdr:row>
      <xdr:rowOff>0</xdr:rowOff>
    </xdr:from>
    <xdr:to>
      <xdr:col>7</xdr:col>
      <xdr:colOff>638175</xdr:colOff>
      <xdr:row>30</xdr:row>
      <xdr:rowOff>98663</xdr:rowOff>
    </xdr:to>
    <xdr:pic>
      <xdr:nvPicPr>
        <xdr:cNvPr id="13" name="Imagem 12" descr="C:\Program Files (x86)\Microsoft Office\MEDIA\CAGCAT10\j0222015.wmf"/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00600" y="5057775"/>
          <a:ext cx="638175" cy="6415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6</xdr:row>
      <xdr:rowOff>95250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xmlns="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6</xdr:row>
      <xdr:rowOff>95250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xmlns="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6</xdr:row>
      <xdr:rowOff>95250</xdr:rowOff>
    </xdr:to>
    <xdr:sp macro="" textlink="">
      <xdr:nvSpPr>
        <xdr:cNvPr id="4" name="AutoShape 1" descr="Nintendo Switch Online bate marca de 36 milhões de assinantes - Nintendo  Blast">
          <a:extLst>
            <a:ext uri="{FF2B5EF4-FFF2-40B4-BE49-F238E27FC236}">
              <a16:creationId xmlns=""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15811500" y="1219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7</xdr:row>
      <xdr:rowOff>0</xdr:rowOff>
    </xdr:from>
    <xdr:to>
      <xdr:col>11</xdr:col>
      <xdr:colOff>304800</xdr:colOff>
      <xdr:row>8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xmlns="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7</xdr:row>
      <xdr:rowOff>0</xdr:rowOff>
    </xdr:from>
    <xdr:to>
      <xdr:col>13</xdr:col>
      <xdr:colOff>304800</xdr:colOff>
      <xdr:row>8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xmlns="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6</xdr:row>
      <xdr:rowOff>76200</xdr:rowOff>
    </xdr:from>
    <xdr:to>
      <xdr:col>10</xdr:col>
      <xdr:colOff>819150</xdr:colOff>
      <xdr:row>21</xdr:row>
      <xdr:rowOff>104775</xdr:rowOff>
    </xdr:to>
    <xdr:graphicFrame macro="">
      <xdr:nvGraphicFramePr>
        <xdr:cNvPr id="4" name="Gráfico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341824</xdr:colOff>
      <xdr:row>0</xdr:row>
      <xdr:rowOff>154781</xdr:rowOff>
    </xdr:from>
    <xdr:to>
      <xdr:col>0</xdr:col>
      <xdr:colOff>1858842</xdr:colOff>
      <xdr:row>6</xdr:row>
      <xdr:rowOff>64057</xdr:rowOff>
    </xdr:to>
    <xdr:grpSp>
      <xdr:nvGrpSpPr>
        <xdr:cNvPr id="5" name="Grupo 4"/>
        <xdr:cNvGrpSpPr/>
      </xdr:nvGrpSpPr>
      <xdr:grpSpPr>
        <a:xfrm>
          <a:off x="341824" y="154781"/>
          <a:ext cx="1517018" cy="1040370"/>
          <a:chOff x="484696" y="154781"/>
          <a:chExt cx="1517018" cy="1040370"/>
        </a:xfrm>
      </xdr:grpSpPr>
      <xdr:sp macro="" textlink="">
        <xdr:nvSpPr>
          <xdr:cNvPr id="2" name="Elipse 1">
            <a:extLst>
              <a:ext uri="{FF2B5EF4-FFF2-40B4-BE49-F238E27FC236}">
                <a16:creationId xmlns:a16="http://schemas.microsoft.com/office/drawing/2014/main" xmlns="" id="{EAED0B10-9B9B-4C87-AA2F-D30DEB957E50}"/>
              </a:ext>
            </a:extLst>
          </xdr:cNvPr>
          <xdr:cNvSpPr/>
        </xdr:nvSpPr>
        <xdr:spPr>
          <a:xfrm>
            <a:off x="881062" y="154781"/>
            <a:ext cx="771525" cy="657225"/>
          </a:xfrm>
          <a:prstGeom prst="ellipse">
            <a:avLst/>
          </a:prstGeom>
          <a:blipFill>
            <a:blip xmlns:r="http://schemas.openxmlformats.org/officeDocument/2006/relationships" r:embed="rId1"/>
            <a:stretch>
              <a:fillRect/>
            </a:stretch>
          </a:blip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endParaRPr lang="pt-BR" sz="1100" kern="1200"/>
          </a:p>
        </xdr:txBody>
      </xdr:sp>
      <xdr:sp macro="" textlink="">
        <xdr:nvSpPr>
          <xdr:cNvPr id="3" name="CaixaDeTexto 2"/>
          <xdr:cNvSpPr txBox="1"/>
        </xdr:nvSpPr>
        <xdr:spPr>
          <a:xfrm>
            <a:off x="484696" y="940594"/>
            <a:ext cx="1517018" cy="254557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b">
            <a:spAutoFit/>
          </a:bodyPr>
          <a:lstStyle/>
          <a:p>
            <a:pPr algn="r"/>
            <a:r>
              <a:rPr lang="pt-BR" sz="1100" b="1">
                <a:latin typeface="Arial" pitchFamily="34" charset="0"/>
                <a:cs typeface="Arial" pitchFamily="34" charset="0"/>
              </a:rPr>
              <a:t>Bem Vindo, Mário!!!</a:t>
            </a:r>
          </a:p>
        </xdr:txBody>
      </xdr:sp>
    </xdr:grpSp>
    <xdr:clientData/>
  </xdr:twoCellAnchor>
  <xdr:twoCellAnchor editAs="absolute">
    <xdr:from>
      <xdr:col>1</xdr:col>
      <xdr:colOff>261935</xdr:colOff>
      <xdr:row>0</xdr:row>
      <xdr:rowOff>0</xdr:rowOff>
    </xdr:from>
    <xdr:to>
      <xdr:col>2</xdr:col>
      <xdr:colOff>701347</xdr:colOff>
      <xdr:row>2</xdr:row>
      <xdr:rowOff>105726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xmlns="" id="{D630EA10-DDFB-4174-AD6F-CBB669F75E3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426" t="16306" r="72773" b="18469"/>
        <a:stretch/>
      </xdr:blipFill>
      <xdr:spPr>
        <a:xfrm>
          <a:off x="2476498" y="0"/>
          <a:ext cx="713255" cy="784382"/>
        </a:xfrm>
        <a:prstGeom prst="rect">
          <a:avLst/>
        </a:prstGeom>
      </xdr:spPr>
    </xdr:pic>
    <xdr:clientData/>
  </xdr:twoCellAnchor>
  <xdr:twoCellAnchor editAs="oneCell">
    <xdr:from>
      <xdr:col>0</xdr:col>
      <xdr:colOff>142874</xdr:colOff>
      <xdr:row>6</xdr:row>
      <xdr:rowOff>226218</xdr:rowOff>
    </xdr:from>
    <xdr:to>
      <xdr:col>0</xdr:col>
      <xdr:colOff>2083593</xdr:colOff>
      <xdr:row>21</xdr:row>
      <xdr:rowOff>95250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0" name="Subscription Type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2874" y="1357312"/>
              <a:ext cx="1940719" cy="278606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 slicer. Os slicers podem ser usados, no mínimo, no Excel 2010.
Caso a forma tenha sido modificada em uma versão anterior do Excel, ou a pasta de trabalho tenha sido salva no Excel 2003 ou
anterior, o slicer não poderá ser usado.</a:t>
              </a:r>
            </a:p>
          </xdr:txBody>
        </xdr:sp>
      </mc:Fallback>
    </mc:AlternateContent>
    <xdr:clientData/>
  </xdr:twoCellAnchor>
  <xdr:twoCellAnchor>
    <xdr:from>
      <xdr:col>1</xdr:col>
      <xdr:colOff>226215</xdr:colOff>
      <xdr:row>6</xdr:row>
      <xdr:rowOff>35718</xdr:rowOff>
    </xdr:from>
    <xdr:to>
      <xdr:col>2</xdr:col>
      <xdr:colOff>5274466</xdr:colOff>
      <xdr:row>13</xdr:row>
      <xdr:rowOff>71438</xdr:rowOff>
    </xdr:to>
    <xdr:grpSp>
      <xdr:nvGrpSpPr>
        <xdr:cNvPr id="9" name="Grupo 8"/>
        <xdr:cNvGrpSpPr/>
      </xdr:nvGrpSpPr>
      <xdr:grpSpPr>
        <a:xfrm>
          <a:off x="2440778" y="1166812"/>
          <a:ext cx="5322094" cy="1524001"/>
          <a:chOff x="2274094" y="1166812"/>
          <a:chExt cx="5322094" cy="1524001"/>
        </a:xfrm>
      </xdr:grpSpPr>
      <xdr:grpSp>
        <xdr:nvGrpSpPr>
          <xdr:cNvPr id="6" name="Grupo 5"/>
          <xdr:cNvGrpSpPr/>
        </xdr:nvGrpSpPr>
        <xdr:grpSpPr>
          <a:xfrm>
            <a:off x="2274094" y="1524000"/>
            <a:ext cx="5310187" cy="1166813"/>
            <a:chOff x="2274094" y="1524000"/>
            <a:chExt cx="5310187" cy="1166813"/>
          </a:xfrm>
        </xdr:grpSpPr>
        <xdr:sp macro="" textlink="">
          <xdr:nvSpPr>
            <xdr:cNvPr id="12" name="Retângulo de cantos arredondados 11"/>
            <xdr:cNvSpPr/>
          </xdr:nvSpPr>
          <xdr:spPr>
            <a:xfrm>
              <a:off x="2274094" y="1524000"/>
              <a:ext cx="5310187" cy="1166813"/>
            </a:xfrm>
            <a:prstGeom prst="roundRect">
              <a:avLst/>
            </a:prstGeom>
            <a:solidFill>
              <a:sysClr val="window" lastClr="FFFFFF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endParaRPr lang="pt-BR" sz="1100"/>
            </a:p>
          </xdr:txBody>
        </xdr:sp>
        <xdr:sp macro="" textlink="C̳álculos!E26">
          <xdr:nvSpPr>
            <xdr:cNvPr id="13" name="Retângulo de cantos arredondados 12"/>
            <xdr:cNvSpPr/>
          </xdr:nvSpPr>
          <xdr:spPr>
            <a:xfrm>
              <a:off x="3378989" y="1690687"/>
              <a:ext cx="3181350" cy="938213"/>
            </a:xfrm>
            <a:prstGeom prst="roundRect">
              <a:avLst/>
            </a:prstGeom>
            <a:solidFill>
              <a:srgbClr val="8FBFEC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85FE1BC6-2478-4159-874B-37430BEC391A}" type="TxLink">
                <a:rPr lang="pt-BR" sz="2400"/>
                <a:pPr algn="ctr"/>
                <a:t>R$ 2.308,00</a:t>
              </a:fld>
              <a:endParaRPr lang="pt-BR" sz="2400"/>
            </a:p>
          </xdr:txBody>
        </xdr:sp>
      </xdr:grpSp>
      <xdr:sp macro="" textlink="">
        <xdr:nvSpPr>
          <xdr:cNvPr id="14" name="Retângulo: Cantos Superiores Arredondados 17">
            <a:extLst>
              <a:ext uri="{FF2B5EF4-FFF2-40B4-BE49-F238E27FC236}">
                <a16:creationId xmlns="" xmlns:a16="http://schemas.microsoft.com/office/drawing/2014/main" id="{DC70A7EE-8E1F-F9B2-5965-FE23BFD36B53}"/>
              </a:ext>
            </a:extLst>
          </xdr:cNvPr>
          <xdr:cNvSpPr/>
        </xdr:nvSpPr>
        <xdr:spPr>
          <a:xfrm>
            <a:off x="2297906" y="1166812"/>
            <a:ext cx="5298282" cy="488157"/>
          </a:xfrm>
          <a:prstGeom prst="round2SameRect">
            <a:avLst/>
          </a:prstGeom>
          <a:solidFill>
            <a:srgbClr val="8FBFEC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800" b="1" kern="1200">
                <a:latin typeface="Segoe UI" panose="020B0502040204020203" pitchFamily="34" charset="0"/>
                <a:cs typeface="Segoe UI" panose="020B0502040204020203" pitchFamily="34" charset="0"/>
              </a:rPr>
              <a:t>TOTAL SUBSCRIPTIONS XBOX GAME</a:t>
            </a:r>
            <a:r>
              <a:rPr lang="pt-BR" sz="1800" b="1" kern="1200" baseline="0">
                <a:latin typeface="Segoe UI" panose="020B0502040204020203" pitchFamily="34" charset="0"/>
                <a:cs typeface="Segoe UI" panose="020B0502040204020203" pitchFamily="34" charset="0"/>
              </a:rPr>
              <a:t> PASS</a:t>
            </a:r>
            <a:r>
              <a:rPr lang="pt-BR" sz="1800" b="1" kern="1200">
                <a:latin typeface="Segoe UI" panose="020B0502040204020203" pitchFamily="34" charset="0"/>
                <a:cs typeface="Segoe UI" panose="020B0502040204020203" pitchFamily="34" charset="0"/>
              </a:rPr>
              <a:t> </a:t>
            </a:r>
          </a:p>
        </xdr:txBody>
      </xdr:sp>
    </xdr:grpSp>
    <xdr:clientData/>
  </xdr:twoCellAnchor>
  <xdr:twoCellAnchor editAs="absolute">
    <xdr:from>
      <xdr:col>2</xdr:col>
      <xdr:colOff>1214436</xdr:colOff>
      <xdr:row>8</xdr:row>
      <xdr:rowOff>166688</xdr:rowOff>
    </xdr:from>
    <xdr:to>
      <xdr:col>2</xdr:col>
      <xdr:colOff>1679980</xdr:colOff>
      <xdr:row>11</xdr:row>
      <xdr:rowOff>142875</xdr:rowOff>
    </xdr:to>
    <xdr:pic>
      <xdr:nvPicPr>
        <xdr:cNvPr id="15" name="Imagem 14">
          <a:extLst>
            <a:ext uri="{FF2B5EF4-FFF2-40B4-BE49-F238E27FC236}">
              <a16:creationId xmlns:a16="http://schemas.microsoft.com/office/drawing/2014/main" xmlns="" id="{D630EA10-DDFB-4174-AD6F-CBB669F75E3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426" t="16306" r="72773" b="18469"/>
        <a:stretch/>
      </xdr:blipFill>
      <xdr:spPr>
        <a:xfrm>
          <a:off x="3702842" y="1893094"/>
          <a:ext cx="465544" cy="511969"/>
        </a:xfrm>
        <a:prstGeom prst="rect">
          <a:avLst/>
        </a:prstGeom>
      </xdr:spPr>
    </xdr:pic>
    <xdr:clientData/>
  </xdr:twoCellAnchor>
  <xdr:twoCellAnchor editAs="absolute">
    <xdr:from>
      <xdr:col>2</xdr:col>
      <xdr:colOff>5869781</xdr:colOff>
      <xdr:row>6</xdr:row>
      <xdr:rowOff>35718</xdr:rowOff>
    </xdr:from>
    <xdr:to>
      <xdr:col>3</xdr:col>
      <xdr:colOff>0</xdr:colOff>
      <xdr:row>13</xdr:row>
      <xdr:rowOff>71438</xdr:rowOff>
    </xdr:to>
    <xdr:grpSp>
      <xdr:nvGrpSpPr>
        <xdr:cNvPr id="16" name="Grupo 15"/>
        <xdr:cNvGrpSpPr/>
      </xdr:nvGrpSpPr>
      <xdr:grpSpPr>
        <a:xfrm>
          <a:off x="8358187" y="1166812"/>
          <a:ext cx="5322094" cy="1524001"/>
          <a:chOff x="2274094" y="1166812"/>
          <a:chExt cx="5322094" cy="1524001"/>
        </a:xfrm>
      </xdr:grpSpPr>
      <xdr:grpSp>
        <xdr:nvGrpSpPr>
          <xdr:cNvPr id="17" name="Grupo 16"/>
          <xdr:cNvGrpSpPr/>
        </xdr:nvGrpSpPr>
        <xdr:grpSpPr>
          <a:xfrm>
            <a:off x="2274094" y="1524000"/>
            <a:ext cx="5310187" cy="1166813"/>
            <a:chOff x="2274094" y="1524000"/>
            <a:chExt cx="5310187" cy="1166813"/>
          </a:xfrm>
        </xdr:grpSpPr>
        <xdr:sp macro="" textlink="">
          <xdr:nvSpPr>
            <xdr:cNvPr id="19" name="Retângulo de cantos arredondados 18"/>
            <xdr:cNvSpPr/>
          </xdr:nvSpPr>
          <xdr:spPr>
            <a:xfrm>
              <a:off x="2274094" y="1524000"/>
              <a:ext cx="5310187" cy="1166813"/>
            </a:xfrm>
            <a:prstGeom prst="roundRect">
              <a:avLst/>
            </a:prstGeom>
            <a:solidFill>
              <a:sysClr val="window" lastClr="FFFFFF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endParaRPr lang="pt-BR" sz="1100"/>
            </a:p>
          </xdr:txBody>
        </xdr:sp>
        <xdr:sp macro="" textlink="C̳álculos!E31">
          <xdr:nvSpPr>
            <xdr:cNvPr id="20" name="Retângulo de cantos arredondados 19"/>
            <xdr:cNvSpPr/>
          </xdr:nvSpPr>
          <xdr:spPr>
            <a:xfrm>
              <a:off x="3378989" y="1690687"/>
              <a:ext cx="3181350" cy="938213"/>
            </a:xfrm>
            <a:prstGeom prst="roundRect">
              <a:avLst/>
            </a:prstGeom>
            <a:solidFill>
              <a:srgbClr val="8FBFEC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DA82EC6A-729C-4A55-85F9-AE5B6B812E84}" type="TxLink">
                <a:rPr lang="pt-BR" sz="2400"/>
                <a:t>R$ 697,00</a:t>
              </a:fld>
              <a:endParaRPr lang="pt-BR" sz="2400"/>
            </a:p>
          </xdr:txBody>
        </xdr:sp>
      </xdr:grpSp>
      <xdr:sp macro="" textlink="">
        <xdr:nvSpPr>
          <xdr:cNvPr id="18" name="Retângulo: Cantos Superiores Arredondados 17">
            <a:extLst>
              <a:ext uri="{FF2B5EF4-FFF2-40B4-BE49-F238E27FC236}">
                <a16:creationId xmlns="" xmlns:a16="http://schemas.microsoft.com/office/drawing/2014/main" id="{DC70A7EE-8E1F-F9B2-5965-FE23BFD36B53}"/>
              </a:ext>
            </a:extLst>
          </xdr:cNvPr>
          <xdr:cNvSpPr/>
        </xdr:nvSpPr>
        <xdr:spPr>
          <a:xfrm>
            <a:off x="2297906" y="1166812"/>
            <a:ext cx="5298282" cy="488157"/>
          </a:xfrm>
          <a:prstGeom prst="round2SameRect">
            <a:avLst/>
          </a:prstGeom>
          <a:solidFill>
            <a:srgbClr val="8FBFEC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800" b="1" kern="1200">
                <a:latin typeface="Segoe UI" panose="020B0502040204020203" pitchFamily="34" charset="0"/>
                <a:cs typeface="Segoe UI" panose="020B0502040204020203" pitchFamily="34" charset="0"/>
              </a:rPr>
              <a:t>COUPON</a:t>
            </a:r>
            <a:r>
              <a:rPr lang="pt-BR" sz="1800" b="1" kern="1200" baseline="0">
                <a:latin typeface="Segoe UI" panose="020B0502040204020203" pitchFamily="34" charset="0"/>
                <a:cs typeface="Segoe UI" panose="020B0502040204020203" pitchFamily="34" charset="0"/>
              </a:rPr>
              <a:t> VALUE</a:t>
            </a:r>
            <a:endParaRPr lang="pt-BR" sz="1800" b="1" kern="1200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 editAs="oneCell">
    <xdr:from>
      <xdr:col>2</xdr:col>
      <xdr:colOff>6977063</xdr:colOff>
      <xdr:row>9</xdr:row>
      <xdr:rowOff>35719</xdr:rowOff>
    </xdr:from>
    <xdr:to>
      <xdr:col>2</xdr:col>
      <xdr:colOff>7427093</xdr:colOff>
      <xdr:row>11</xdr:row>
      <xdr:rowOff>130968</xdr:rowOff>
    </xdr:to>
    <xdr:pic>
      <xdr:nvPicPr>
        <xdr:cNvPr id="21" name="Imagem 20" descr="C:\Program Files (x86)\Microsoft Office\MEDIA\CAGCAT10\j0222015.wmf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65469" y="1940719"/>
          <a:ext cx="450030" cy="4524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273842</xdr:colOff>
      <xdr:row>19</xdr:row>
      <xdr:rowOff>178592</xdr:rowOff>
    </xdr:from>
    <xdr:to>
      <xdr:col>2</xdr:col>
      <xdr:colOff>11191874</xdr:colOff>
      <xdr:row>40</xdr:row>
      <xdr:rowOff>178593</xdr:rowOff>
    </xdr:to>
    <xdr:graphicFrame macro="">
      <xdr:nvGraphicFramePr>
        <xdr:cNvPr id="32" name="Gráfico 3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273842</xdr:colOff>
      <xdr:row>17</xdr:row>
      <xdr:rowOff>0</xdr:rowOff>
    </xdr:from>
    <xdr:to>
      <xdr:col>3</xdr:col>
      <xdr:colOff>0</xdr:colOff>
      <xdr:row>21</xdr:row>
      <xdr:rowOff>0</xdr:rowOff>
    </xdr:to>
    <xdr:sp macro="" textlink="">
      <xdr:nvSpPr>
        <xdr:cNvPr id="38" name="Retângulo: Cantos Superiores Arredondados 17">
          <a:extLst>
            <a:ext uri="{FF2B5EF4-FFF2-40B4-BE49-F238E27FC236}">
              <a16:creationId xmlns="" xmlns:a16="http://schemas.microsoft.com/office/drawing/2014/main" id="{DC70A7EE-8E1F-F9B2-5965-FE23BFD36B53}"/>
            </a:ext>
          </a:extLst>
        </xdr:cNvPr>
        <xdr:cNvSpPr/>
      </xdr:nvSpPr>
      <xdr:spPr>
        <a:xfrm>
          <a:off x="2488405" y="3333750"/>
          <a:ext cx="11191876" cy="714375"/>
        </a:xfrm>
        <a:prstGeom prst="round2SameRect">
          <a:avLst/>
        </a:prstGeom>
        <a:solidFill>
          <a:srgbClr val="8FBFEC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 kern="1200">
              <a:latin typeface="Segoe UI" panose="020B0502040204020203" pitchFamily="34" charset="0"/>
              <a:cs typeface="Segoe UI" panose="020B0502040204020203" pitchFamily="34" charset="0"/>
            </a:rPr>
            <a:t>TOTAL SUBSCRIPTIONS XBOX GAME PASS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Windows10" refreshedDate="46168.681169560186" createdVersion="4" refreshedVersion="4" minRefreshableVersion="3" recordCount="295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 count="295">
        <n v="3231"/>
        <n v="3232"/>
        <n v="3233"/>
        <n v="3234"/>
        <n v="3235"/>
        <n v="3236"/>
        <n v="3237"/>
        <n v="3238"/>
        <n v="3239"/>
        <n v="3240"/>
        <n v="3241"/>
        <n v="3242"/>
        <n v="3243"/>
        <n v="3244"/>
        <n v="3245"/>
        <n v="3246"/>
        <n v="3247"/>
        <n v="3248"/>
        <n v="3249"/>
        <n v="3250"/>
        <n v="3251"/>
        <n v="3252"/>
        <n v="3253"/>
        <n v="3254"/>
        <n v="3255"/>
        <n v="3256"/>
        <n v="3257"/>
        <n v="3258"/>
        <n v="3259"/>
        <n v="3260"/>
        <n v="3261"/>
        <n v="3262"/>
        <n v="3263"/>
        <n v="3264"/>
        <n v="3265"/>
        <n v="3266"/>
        <n v="3267"/>
        <n v="3268"/>
        <n v="3269"/>
        <n v="3270"/>
        <n v="3271"/>
        <n v="3272"/>
        <n v="3273"/>
        <n v="3274"/>
        <n v="3275"/>
        <n v="3276"/>
        <n v="3277"/>
        <n v="3278"/>
        <n v="3279"/>
        <n v="3280"/>
        <n v="3281"/>
        <n v="3282"/>
        <n v="3283"/>
        <n v="3284"/>
        <n v="3285"/>
        <n v="3286"/>
        <n v="3287"/>
        <n v="3288"/>
        <n v="3289"/>
        <n v="3290"/>
        <n v="3291"/>
        <n v="3292"/>
        <n v="3293"/>
        <n v="3294"/>
        <n v="3295"/>
        <n v="3296"/>
        <n v="3297"/>
        <n v="3298"/>
        <n v="3299"/>
        <n v="3300"/>
        <n v="3301"/>
        <n v="3302"/>
        <n v="3303"/>
        <n v="3304"/>
        <n v="3305"/>
        <n v="3306"/>
        <n v="3307"/>
        <n v="3308"/>
        <n v="3309"/>
        <n v="3310"/>
        <n v="3311"/>
        <n v="3312"/>
        <n v="3313"/>
        <n v="3314"/>
        <n v="3315"/>
        <n v="3316"/>
        <n v="3317"/>
        <n v="3318"/>
        <n v="3319"/>
        <n v="3320"/>
        <n v="3321"/>
        <n v="3322"/>
        <n v="3323"/>
        <n v="3324"/>
        <n v="3325"/>
        <n v="3326"/>
        <n v="3327"/>
        <n v="3328"/>
        <n v="3329"/>
        <n v="3330"/>
        <n v="3331"/>
        <n v="3332"/>
        <n v="3333"/>
        <n v="3334"/>
        <n v="3335"/>
        <n v="3336"/>
        <n v="3337"/>
        <n v="3338"/>
        <n v="3339"/>
        <n v="3340"/>
        <n v="3341"/>
        <n v="3342"/>
        <n v="3343"/>
        <n v="3344"/>
        <n v="3345"/>
        <n v="3346"/>
        <n v="3347"/>
        <n v="3348"/>
        <n v="3349"/>
        <n v="3350"/>
        <n v="3351"/>
        <n v="3352"/>
        <n v="3353"/>
        <n v="3354"/>
        <n v="3355"/>
        <n v="3356"/>
        <n v="3357"/>
        <n v="3358"/>
        <n v="3359"/>
        <n v="3360"/>
        <n v="3361"/>
        <n v="3362"/>
        <n v="3363"/>
        <n v="3364"/>
        <n v="3365"/>
        <n v="3366"/>
        <n v="3367"/>
        <n v="3368"/>
        <n v="3369"/>
        <n v="3370"/>
        <n v="3371"/>
        <n v="3372"/>
        <n v="3373"/>
        <n v="3374"/>
        <n v="3375"/>
        <n v="3376"/>
        <n v="3377"/>
        <n v="3378"/>
        <n v="3379"/>
        <n v="3380"/>
        <n v="3381"/>
        <n v="3382"/>
        <n v="3383"/>
        <n v="3384"/>
        <n v="3385"/>
        <n v="3386"/>
        <n v="3387"/>
        <n v="3388"/>
        <n v="3389"/>
        <n v="3390"/>
        <n v="3391"/>
        <n v="3392"/>
        <n v="3393"/>
        <n v="3394"/>
        <n v="3395"/>
        <n v="3396"/>
        <n v="3397"/>
        <n v="3398"/>
        <n v="3399"/>
        <n v="3400"/>
        <n v="3401"/>
        <n v="3402"/>
        <n v="3403"/>
        <n v="3404"/>
        <n v="3405"/>
        <n v="3406"/>
        <n v="3407"/>
        <n v="3408"/>
        <n v="3409"/>
        <n v="3410"/>
        <n v="3411"/>
        <n v="3412"/>
        <n v="3413"/>
        <n v="3414"/>
        <n v="3415"/>
        <n v="3416"/>
        <n v="3417"/>
        <n v="3418"/>
        <n v="3419"/>
        <n v="3420"/>
        <n v="3421"/>
        <n v="3422"/>
        <n v="3423"/>
        <n v="3424"/>
        <n v="3425"/>
        <n v="3426"/>
        <n v="3427"/>
        <n v="3428"/>
        <n v="3429"/>
        <n v="3430"/>
        <n v="3431"/>
        <n v="3432"/>
        <n v="3433"/>
        <n v="3434"/>
        <n v="3435"/>
        <n v="3436"/>
        <n v="3437"/>
        <n v="3438"/>
        <n v="3439"/>
        <n v="3440"/>
        <n v="3441"/>
        <n v="3442"/>
        <n v="3443"/>
        <n v="3444"/>
        <n v="3445"/>
        <n v="3446"/>
        <n v="3447"/>
        <n v="3448"/>
        <n v="3449"/>
        <n v="3450"/>
        <n v="3451"/>
        <n v="3452"/>
        <n v="3453"/>
        <n v="3454"/>
        <n v="3455"/>
        <n v="3456"/>
        <n v="3457"/>
        <n v="3458"/>
        <n v="3459"/>
        <n v="3460"/>
        <n v="3461"/>
        <n v="3462"/>
        <n v="3463"/>
        <n v="3464"/>
        <n v="3465"/>
        <n v="3466"/>
        <n v="3467"/>
        <n v="3468"/>
        <n v="3469"/>
        <n v="3470"/>
        <n v="3471"/>
        <n v="3472"/>
        <n v="3473"/>
        <n v="3474"/>
        <n v="3475"/>
        <n v="3476"/>
        <n v="3477"/>
        <n v="3478"/>
        <n v="3479"/>
        <n v="3480"/>
        <n v="3481"/>
        <n v="3482"/>
        <n v="3483"/>
        <n v="3484"/>
        <n v="3485"/>
        <n v="3486"/>
        <n v="3487"/>
        <n v="3488"/>
        <n v="3489"/>
        <n v="3490"/>
        <n v="3491"/>
        <n v="3492"/>
        <n v="3493"/>
        <n v="3494"/>
        <n v="3495"/>
        <n v="3496"/>
        <n v="3497"/>
        <n v="3498"/>
        <n v="3499"/>
        <n v="3500"/>
        <n v="3501"/>
        <n v="3502"/>
        <n v="3503"/>
        <n v="3504"/>
        <n v="3505"/>
        <n v="3506"/>
        <n v="3507"/>
        <n v="3508"/>
        <n v="3509"/>
        <n v="3510"/>
        <n v="3511"/>
        <n v="3512"/>
        <n v="3513"/>
        <n v="3514"/>
        <n v="3515"/>
        <n v="3516"/>
        <n v="3517"/>
        <n v="3518"/>
        <n v="3519"/>
        <n v="3520"/>
        <n v="3521"/>
        <n v="3522"/>
        <n v="3523"/>
        <n v="3524"/>
        <n v="3525"/>
      </sharedItems>
    </cacheField>
    <cacheField name="Name" numFmtId="0">
      <sharedItems/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/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95">
  <r>
    <x v="0"/>
    <s v="João Silva"/>
    <x v="0"/>
    <d v="2024-01-01T00:00:00"/>
    <x v="0"/>
    <n v="15"/>
    <x v="0"/>
    <s v="Yes"/>
    <n v="30"/>
    <s v="Yes"/>
    <n v="20"/>
    <n v="5"/>
    <n v="60"/>
  </r>
  <r>
    <x v="1"/>
    <s v="Maria Oliveira"/>
    <x v="1"/>
    <d v="2024-01-15T00:00:00"/>
    <x v="1"/>
    <n v="5"/>
    <x v="1"/>
    <s v="No"/>
    <s v="-"/>
    <s v="No"/>
    <n v="0"/>
    <n v="0"/>
    <n v="5"/>
  </r>
  <r>
    <x v="2"/>
    <s v="Lucas Fernandes"/>
    <x v="2"/>
    <d v="2024-02-10T00:00:00"/>
    <x v="0"/>
    <n v="10"/>
    <x v="2"/>
    <s v="No"/>
    <s v="-"/>
    <s v="Yes"/>
    <n v="20"/>
    <n v="10"/>
    <n v="20"/>
  </r>
  <r>
    <x v="3"/>
    <s v="Ana Souza"/>
    <x v="0"/>
    <d v="2024-02-20T00:00:00"/>
    <x v="1"/>
    <n v="15"/>
    <x v="0"/>
    <s v="Yes"/>
    <n v="30"/>
    <s v="Yes"/>
    <n v="20"/>
    <n v="3"/>
    <n v="62"/>
  </r>
  <r>
    <x v="4"/>
    <s v="Pedro Gonçalves"/>
    <x v="1"/>
    <d v="2024-03-05T00:00:00"/>
    <x v="0"/>
    <n v="5"/>
    <x v="0"/>
    <s v="No"/>
    <s v="-"/>
    <s v="No"/>
    <n v="0"/>
    <n v="1"/>
    <n v="4"/>
  </r>
  <r>
    <x v="5"/>
    <s v="Felipe Costa"/>
    <x v="2"/>
    <d v="2024-03-02T00:00:00"/>
    <x v="1"/>
    <n v="10"/>
    <x v="0"/>
    <s v="No"/>
    <s v="-"/>
    <s v="Yes"/>
    <n v="20"/>
    <n v="2"/>
    <n v="28"/>
  </r>
  <r>
    <x v="6"/>
    <s v="Camila Ribeiro"/>
    <x v="0"/>
    <d v="2024-03-03T00:00:00"/>
    <x v="0"/>
    <n v="15"/>
    <x v="2"/>
    <s v="Yes"/>
    <n v="30"/>
    <s v="Yes"/>
    <n v="20"/>
    <n v="10"/>
    <n v="55"/>
  </r>
  <r>
    <x v="7"/>
    <s v="André Mendes"/>
    <x v="1"/>
    <d v="2024-03-04T00:00:00"/>
    <x v="0"/>
    <n v="5"/>
    <x v="1"/>
    <s v="No"/>
    <s v="-"/>
    <s v="No"/>
    <n v="0"/>
    <n v="0"/>
    <n v="5"/>
  </r>
  <r>
    <x v="8"/>
    <s v="Sofia Almeida"/>
    <x v="0"/>
    <d v="2024-03-05T00:00:00"/>
    <x v="1"/>
    <n v="15"/>
    <x v="0"/>
    <s v="Yes"/>
    <n v="30"/>
    <s v="Yes"/>
    <n v="20"/>
    <n v="5"/>
    <n v="60"/>
  </r>
  <r>
    <x v="9"/>
    <s v="Bruno Martins"/>
    <x v="2"/>
    <d v="2024-03-06T00:00:00"/>
    <x v="0"/>
    <n v="10"/>
    <x v="2"/>
    <s v="No"/>
    <s v="-"/>
    <s v="Yes"/>
    <n v="20"/>
    <n v="15"/>
    <n v="15"/>
  </r>
  <r>
    <x v="10"/>
    <s v="Rita Castro"/>
    <x v="1"/>
    <d v="2024-03-07T00:00:00"/>
    <x v="1"/>
    <n v="5"/>
    <x v="0"/>
    <s v="No"/>
    <s v="-"/>
    <s v="No"/>
    <n v="0"/>
    <n v="1"/>
    <n v="4"/>
  </r>
  <r>
    <x v="11"/>
    <s v="Marco Túlio"/>
    <x v="0"/>
    <d v="2024-03-08T00:00:00"/>
    <x v="0"/>
    <n v="15"/>
    <x v="1"/>
    <s v="Yes"/>
    <n v="30"/>
    <s v="Yes"/>
    <n v="20"/>
    <n v="20"/>
    <n v="45"/>
  </r>
  <r>
    <x v="12"/>
    <s v="Lívia Silveira"/>
    <x v="2"/>
    <d v="2024-03-09T00:00:00"/>
    <x v="1"/>
    <n v="10"/>
    <x v="0"/>
    <s v="No"/>
    <s v="-"/>
    <s v="Yes"/>
    <n v="20"/>
    <n v="10"/>
    <n v="20"/>
  </r>
  <r>
    <x v="13"/>
    <s v="Diogo Sousa"/>
    <x v="1"/>
    <d v="2024-03-10T00:00:00"/>
    <x v="0"/>
    <n v="5"/>
    <x v="2"/>
    <s v="No"/>
    <s v="-"/>
    <s v="No"/>
    <n v="0"/>
    <n v="0"/>
    <n v="5"/>
  </r>
  <r>
    <x v="14"/>
    <s v="Fernanda Lima"/>
    <x v="0"/>
    <d v="2024-03-11T00:00:00"/>
    <x v="1"/>
    <n v="15"/>
    <x v="0"/>
    <s v="Yes"/>
    <n v="30"/>
    <s v="Yes"/>
    <n v="20"/>
    <n v="8"/>
    <n v="57"/>
  </r>
  <r>
    <x v="15"/>
    <s v="Caio Pereira"/>
    <x v="2"/>
    <d v="2024-03-12T00:00:00"/>
    <x v="0"/>
    <n v="10"/>
    <x v="1"/>
    <s v="No"/>
    <s v="-"/>
    <s v="Yes"/>
    <n v="20"/>
    <n v="12"/>
    <n v="18"/>
  </r>
  <r>
    <x v="16"/>
    <s v="Beatriz Gomes"/>
    <x v="1"/>
    <d v="2024-03-13T00:00:00"/>
    <x v="1"/>
    <n v="5"/>
    <x v="0"/>
    <s v="No"/>
    <s v="-"/>
    <s v="No"/>
    <n v="0"/>
    <n v="2"/>
    <n v="3"/>
  </r>
  <r>
    <x v="17"/>
    <s v="Cesar Oliveira"/>
    <x v="0"/>
    <d v="2024-03-14T00:00:00"/>
    <x v="0"/>
    <n v="15"/>
    <x v="2"/>
    <s v="Yes"/>
    <n v="30"/>
    <s v="Yes"/>
    <n v="20"/>
    <n v="7"/>
    <n v="58"/>
  </r>
  <r>
    <x v="18"/>
    <s v="Débora Machado"/>
    <x v="2"/>
    <d v="2024-03-15T00:00:00"/>
    <x v="1"/>
    <n v="10"/>
    <x v="0"/>
    <s v="No"/>
    <s v="-"/>
    <s v="Yes"/>
    <n v="20"/>
    <n v="5"/>
    <n v="25"/>
  </r>
  <r>
    <x v="19"/>
    <s v="Eduardo Vargas"/>
    <x v="1"/>
    <d v="2024-03-16T00:00:00"/>
    <x v="0"/>
    <n v="5"/>
    <x v="1"/>
    <s v="No"/>
    <s v="-"/>
    <s v="No"/>
    <n v="0"/>
    <n v="0"/>
    <n v="5"/>
  </r>
  <r>
    <x v="20"/>
    <s v="Gabriela Santos"/>
    <x v="0"/>
    <d v="2024-03-17T00:00:00"/>
    <x v="1"/>
    <n v="15"/>
    <x v="0"/>
    <s v="Yes"/>
    <n v="30"/>
    <s v="Yes"/>
    <n v="20"/>
    <n v="3"/>
    <n v="62"/>
  </r>
  <r>
    <x v="21"/>
    <s v="Henrique Dias"/>
    <x v="2"/>
    <d v="2024-03-18T00:00:00"/>
    <x v="0"/>
    <n v="10"/>
    <x v="2"/>
    <s v="No"/>
    <s v="-"/>
    <s v="Yes"/>
    <n v="20"/>
    <n v="15"/>
    <n v="15"/>
  </r>
  <r>
    <x v="22"/>
    <s v="Isabela Moreira"/>
    <x v="1"/>
    <d v="2024-03-19T00:00:00"/>
    <x v="1"/>
    <n v="5"/>
    <x v="0"/>
    <s v="No"/>
    <s v="-"/>
    <s v="No"/>
    <n v="0"/>
    <n v="1"/>
    <n v="4"/>
  </r>
  <r>
    <x v="23"/>
    <s v="Joaquim Barbosa"/>
    <x v="0"/>
    <d v="2024-03-20T00:00:00"/>
    <x v="0"/>
    <n v="15"/>
    <x v="1"/>
    <s v="Yes"/>
    <n v="30"/>
    <s v="Yes"/>
    <n v="20"/>
    <n v="20"/>
    <n v="45"/>
  </r>
  <r>
    <x v="24"/>
    <s v="Lara Rocha"/>
    <x v="2"/>
    <d v="2024-03-21T00:00:00"/>
    <x v="1"/>
    <n v="10"/>
    <x v="0"/>
    <s v="No"/>
    <s v="-"/>
    <s v="Yes"/>
    <n v="20"/>
    <n v="10"/>
    <n v="20"/>
  </r>
  <r>
    <x v="25"/>
    <s v="Matheus Silva"/>
    <x v="1"/>
    <d v="2024-03-22T00:00:00"/>
    <x v="0"/>
    <n v="5"/>
    <x v="2"/>
    <s v="No"/>
    <s v="-"/>
    <s v="No"/>
    <n v="0"/>
    <n v="0"/>
    <n v="5"/>
  </r>
  <r>
    <x v="26"/>
    <s v="Nicole Costa"/>
    <x v="0"/>
    <d v="2024-03-23T00:00:00"/>
    <x v="1"/>
    <n v="15"/>
    <x v="0"/>
    <s v="Yes"/>
    <n v="30"/>
    <s v="Yes"/>
    <n v="20"/>
    <n v="5"/>
    <n v="60"/>
  </r>
  <r>
    <x v="27"/>
    <s v="Otávio Mendonça"/>
    <x v="2"/>
    <d v="2024-03-24T00:00:00"/>
    <x v="0"/>
    <n v="10"/>
    <x v="1"/>
    <s v="No"/>
    <s v="-"/>
    <s v="Yes"/>
    <n v="20"/>
    <n v="15"/>
    <n v="15"/>
  </r>
  <r>
    <x v="28"/>
    <s v="Paula Ferreira"/>
    <x v="1"/>
    <d v="2024-03-25T00:00:00"/>
    <x v="1"/>
    <n v="5"/>
    <x v="0"/>
    <s v="No"/>
    <s v="-"/>
    <s v="No"/>
    <n v="0"/>
    <n v="1"/>
    <n v="4"/>
  </r>
  <r>
    <x v="29"/>
    <s v="Raquel Alves"/>
    <x v="0"/>
    <d v="2024-03-26T00:00:00"/>
    <x v="0"/>
    <n v="15"/>
    <x v="2"/>
    <s v="Yes"/>
    <n v="30"/>
    <s v="Yes"/>
    <n v="20"/>
    <n v="7"/>
    <n v="58"/>
  </r>
  <r>
    <x v="30"/>
    <s v="Samuel Pires"/>
    <x v="2"/>
    <d v="2024-03-27T00:00:00"/>
    <x v="1"/>
    <n v="10"/>
    <x v="0"/>
    <s v="No"/>
    <s v="-"/>
    <s v="Yes"/>
    <n v="20"/>
    <n v="10"/>
    <n v="20"/>
  </r>
  <r>
    <x v="31"/>
    <s v="Tânia Barros"/>
    <x v="1"/>
    <d v="2024-03-28T00:00:00"/>
    <x v="0"/>
    <n v="5"/>
    <x v="1"/>
    <s v="No"/>
    <s v="-"/>
    <s v="No"/>
    <n v="0"/>
    <n v="0"/>
    <n v="5"/>
  </r>
  <r>
    <x v="32"/>
    <s v="Vinicius Lima"/>
    <x v="0"/>
    <d v="2024-03-29T00:00:00"/>
    <x v="1"/>
    <n v="15"/>
    <x v="0"/>
    <s v="Yes"/>
    <n v="30"/>
    <s v="Yes"/>
    <n v="20"/>
    <n v="3"/>
    <n v="62"/>
  </r>
  <r>
    <x v="33"/>
    <s v="Yasmin Teixeira"/>
    <x v="2"/>
    <d v="2024-03-30T00:00:00"/>
    <x v="0"/>
    <n v="10"/>
    <x v="2"/>
    <s v="No"/>
    <s v="-"/>
    <s v="Yes"/>
    <n v="20"/>
    <n v="15"/>
    <n v="15"/>
  </r>
  <r>
    <x v="34"/>
    <s v="Zé Carlos"/>
    <x v="1"/>
    <d v="2024-03-31T00:00:00"/>
    <x v="1"/>
    <n v="5"/>
    <x v="0"/>
    <s v="No"/>
    <s v="-"/>
    <s v="No"/>
    <n v="0"/>
    <n v="1"/>
    <n v="4"/>
  </r>
  <r>
    <x v="35"/>
    <s v="Amanda Nogueira"/>
    <x v="1"/>
    <d v="2024-04-01T00:00:00"/>
    <x v="0"/>
    <n v="5"/>
    <x v="0"/>
    <s v="No"/>
    <s v="-"/>
    <s v="No"/>
    <n v="0"/>
    <n v="0"/>
    <n v="5"/>
  </r>
  <r>
    <x v="36"/>
    <s v="Bruno Cavalheiro"/>
    <x v="0"/>
    <d v="2024-04-02T00:00:00"/>
    <x v="1"/>
    <n v="15"/>
    <x v="2"/>
    <s v="Yes"/>
    <n v="30"/>
    <s v="Yes"/>
    <n v="20"/>
    <n v="7"/>
    <n v="58"/>
  </r>
  <r>
    <x v="37"/>
    <s v="Carla Dias"/>
    <x v="2"/>
    <d v="2024-04-03T00:00:00"/>
    <x v="0"/>
    <n v="10"/>
    <x v="1"/>
    <s v="No"/>
    <s v="-"/>
    <s v="Yes"/>
    <n v="20"/>
    <n v="10"/>
    <n v="20"/>
  </r>
  <r>
    <x v="38"/>
    <s v="Diego Fontes"/>
    <x v="1"/>
    <d v="2024-04-04T00:00:00"/>
    <x v="1"/>
    <n v="5"/>
    <x v="2"/>
    <s v="No"/>
    <s v="-"/>
    <s v="No"/>
    <n v="0"/>
    <n v="1"/>
    <n v="4"/>
  </r>
  <r>
    <x v="39"/>
    <s v="Eunice Lima"/>
    <x v="0"/>
    <d v="2024-04-05T00:00:00"/>
    <x v="0"/>
    <n v="15"/>
    <x v="0"/>
    <s v="Yes"/>
    <n v="30"/>
    <s v="Yes"/>
    <n v="20"/>
    <n v="15"/>
    <n v="50"/>
  </r>
  <r>
    <x v="40"/>
    <s v="Fábio Martins"/>
    <x v="2"/>
    <d v="2024-04-06T00:00:00"/>
    <x v="1"/>
    <n v="10"/>
    <x v="0"/>
    <s v="No"/>
    <s v="-"/>
    <s v="Yes"/>
    <n v="20"/>
    <n v="5"/>
    <n v="25"/>
  </r>
  <r>
    <x v="41"/>
    <s v="Gisele Araújo"/>
    <x v="1"/>
    <d v="2024-04-07T00:00:00"/>
    <x v="0"/>
    <n v="5"/>
    <x v="1"/>
    <s v="No"/>
    <s v="-"/>
    <s v="No"/>
    <n v="0"/>
    <n v="0"/>
    <n v="5"/>
  </r>
  <r>
    <x v="42"/>
    <s v="Hélio Castro"/>
    <x v="0"/>
    <d v="2024-04-08T00:00:00"/>
    <x v="1"/>
    <n v="15"/>
    <x v="2"/>
    <s v="Yes"/>
    <n v="30"/>
    <s v="Yes"/>
    <n v="20"/>
    <n v="20"/>
    <n v="45"/>
  </r>
  <r>
    <x v="43"/>
    <s v="Ingrid Menezes"/>
    <x v="2"/>
    <d v="2024-04-09T00:00:00"/>
    <x v="0"/>
    <n v="10"/>
    <x v="2"/>
    <s v="No"/>
    <s v="-"/>
    <s v="Yes"/>
    <n v="20"/>
    <n v="12"/>
    <n v="18"/>
  </r>
  <r>
    <x v="44"/>
    <s v="Jorge Baptista"/>
    <x v="1"/>
    <d v="2024-04-10T00:00:00"/>
    <x v="1"/>
    <n v="5"/>
    <x v="0"/>
    <s v="No"/>
    <s v="-"/>
    <s v="No"/>
    <n v="0"/>
    <n v="2"/>
    <n v="3"/>
  </r>
  <r>
    <x v="45"/>
    <s v="Kléber Oliveira"/>
    <x v="0"/>
    <d v="2024-04-11T00:00:00"/>
    <x v="0"/>
    <n v="15"/>
    <x v="1"/>
    <s v="Yes"/>
    <n v="30"/>
    <s v="Yes"/>
    <n v="20"/>
    <n v="5"/>
    <n v="60"/>
  </r>
  <r>
    <x v="46"/>
    <s v="Luciana Freitas"/>
    <x v="2"/>
    <d v="2024-04-12T00:00:00"/>
    <x v="1"/>
    <n v="10"/>
    <x v="0"/>
    <s v="No"/>
    <s v="-"/>
    <s v="Yes"/>
    <n v="20"/>
    <n v="10"/>
    <n v="20"/>
  </r>
  <r>
    <x v="47"/>
    <s v="Márcia Eller"/>
    <x v="1"/>
    <d v="2024-04-13T00:00:00"/>
    <x v="0"/>
    <n v="5"/>
    <x v="2"/>
    <s v="No"/>
    <s v="-"/>
    <s v="No"/>
    <n v="0"/>
    <n v="0"/>
    <n v="5"/>
  </r>
  <r>
    <x v="48"/>
    <s v="Nilo Peçanha"/>
    <x v="0"/>
    <d v="2024-04-14T00:00:00"/>
    <x v="1"/>
    <n v="15"/>
    <x v="0"/>
    <s v="Yes"/>
    <n v="30"/>
    <s v="Yes"/>
    <n v="20"/>
    <n v="3"/>
    <n v="62"/>
  </r>
  <r>
    <x v="49"/>
    <s v="Oscar Neves"/>
    <x v="2"/>
    <d v="2024-04-15T00:00:00"/>
    <x v="0"/>
    <n v="10"/>
    <x v="1"/>
    <s v="No"/>
    <s v="-"/>
    <s v="Yes"/>
    <n v="20"/>
    <n v="15"/>
    <n v="15"/>
  </r>
  <r>
    <x v="50"/>
    <s v="Patrícia Soares"/>
    <x v="1"/>
    <d v="2024-04-16T00:00:00"/>
    <x v="1"/>
    <n v="5"/>
    <x v="0"/>
    <s v="No"/>
    <s v="-"/>
    <s v="No"/>
    <n v="0"/>
    <n v="1"/>
    <n v="4"/>
  </r>
  <r>
    <x v="51"/>
    <s v="Quirino Gonçalves"/>
    <x v="0"/>
    <d v="2024-04-17T00:00:00"/>
    <x v="0"/>
    <n v="15"/>
    <x v="2"/>
    <s v="Yes"/>
    <n v="30"/>
    <s v="Yes"/>
    <n v="20"/>
    <n v="7"/>
    <n v="58"/>
  </r>
  <r>
    <x v="52"/>
    <s v="Raul Machado"/>
    <x v="2"/>
    <d v="2024-04-18T00:00:00"/>
    <x v="1"/>
    <n v="10"/>
    <x v="0"/>
    <s v="No"/>
    <s v="-"/>
    <s v="Yes"/>
    <n v="20"/>
    <n v="10"/>
    <n v="20"/>
  </r>
  <r>
    <x v="53"/>
    <s v="Sônia Lobo"/>
    <x v="1"/>
    <d v="2024-04-19T00:00:00"/>
    <x v="0"/>
    <n v="5"/>
    <x v="1"/>
    <s v="No"/>
    <s v="-"/>
    <s v="No"/>
    <n v="0"/>
    <n v="0"/>
    <n v="5"/>
  </r>
  <r>
    <x v="54"/>
    <s v="Tiago Ramos"/>
    <x v="0"/>
    <d v="2024-04-20T00:00:00"/>
    <x v="1"/>
    <n v="15"/>
    <x v="0"/>
    <s v="Yes"/>
    <n v="30"/>
    <s v="Yes"/>
    <n v="20"/>
    <n v="20"/>
    <n v="45"/>
  </r>
  <r>
    <x v="55"/>
    <s v="Ugo Pires"/>
    <x v="2"/>
    <d v="2024-04-21T00:00:00"/>
    <x v="0"/>
    <n v="10"/>
    <x v="2"/>
    <s v="No"/>
    <s v="-"/>
    <s v="Yes"/>
    <n v="20"/>
    <n v="15"/>
    <n v="15"/>
  </r>
  <r>
    <x v="56"/>
    <s v="Valéria Nobre"/>
    <x v="1"/>
    <d v="2024-04-22T00:00:00"/>
    <x v="1"/>
    <n v="5"/>
    <x v="0"/>
    <s v="No"/>
    <s v="-"/>
    <s v="No"/>
    <n v="0"/>
    <n v="1"/>
    <n v="4"/>
  </r>
  <r>
    <x v="57"/>
    <s v="William Siqueira"/>
    <x v="0"/>
    <d v="2024-04-23T00:00:00"/>
    <x v="0"/>
    <n v="15"/>
    <x v="1"/>
    <s v="Yes"/>
    <n v="30"/>
    <s v="Yes"/>
    <n v="20"/>
    <n v="3"/>
    <n v="62"/>
  </r>
  <r>
    <x v="58"/>
    <s v="Xuxa Meneghel"/>
    <x v="2"/>
    <d v="2024-04-24T00:00:00"/>
    <x v="1"/>
    <n v="10"/>
    <x v="0"/>
    <s v="No"/>
    <s v="-"/>
    <s v="Yes"/>
    <n v="20"/>
    <n v="10"/>
    <n v="20"/>
  </r>
  <r>
    <x v="59"/>
    <s v="Yara Figueiredo"/>
    <x v="1"/>
    <d v="2024-04-25T00:00:00"/>
    <x v="0"/>
    <n v="5"/>
    <x v="2"/>
    <s v="No"/>
    <s v="-"/>
    <s v="No"/>
    <n v="0"/>
    <n v="0"/>
    <n v="5"/>
  </r>
  <r>
    <x v="60"/>
    <s v="Zacarias Alves"/>
    <x v="0"/>
    <d v="2024-04-26T00:00:00"/>
    <x v="1"/>
    <n v="15"/>
    <x v="0"/>
    <s v="Yes"/>
    <n v="30"/>
    <s v="Yes"/>
    <n v="20"/>
    <n v="5"/>
    <n v="60"/>
  </r>
  <r>
    <x v="61"/>
    <s v="Amanda Bynes"/>
    <x v="2"/>
    <d v="2024-04-27T00:00:00"/>
    <x v="0"/>
    <n v="10"/>
    <x v="1"/>
    <s v="No"/>
    <s v="-"/>
    <s v="Yes"/>
    <n v="20"/>
    <n v="15"/>
    <n v="15"/>
  </r>
  <r>
    <x v="62"/>
    <s v="Bruno Mars"/>
    <x v="1"/>
    <d v="2024-04-28T00:00:00"/>
    <x v="1"/>
    <n v="5"/>
    <x v="0"/>
    <s v="No"/>
    <s v="-"/>
    <s v="No"/>
    <n v="0"/>
    <n v="1"/>
    <n v="4"/>
  </r>
  <r>
    <x v="63"/>
    <s v="Carla Bruni"/>
    <x v="0"/>
    <d v="2024-04-29T00:00:00"/>
    <x v="0"/>
    <n v="15"/>
    <x v="2"/>
    <s v="Yes"/>
    <n v="30"/>
    <s v="Yes"/>
    <n v="20"/>
    <n v="20"/>
    <n v="45"/>
  </r>
  <r>
    <x v="64"/>
    <s v="Diego Maradona"/>
    <x v="2"/>
    <d v="2024-04-30T00:00:00"/>
    <x v="1"/>
    <n v="10"/>
    <x v="0"/>
    <s v="No"/>
    <s v="-"/>
    <s v="Yes"/>
    <n v="20"/>
    <n v="5"/>
    <n v="25"/>
  </r>
  <r>
    <x v="65"/>
    <s v="Estela Marques"/>
    <x v="1"/>
    <d v="2024-05-01T00:00:00"/>
    <x v="1"/>
    <n v="5"/>
    <x v="0"/>
    <s v="No"/>
    <s v="-"/>
    <s v="No"/>
    <n v="0"/>
    <n v="0"/>
    <n v="5"/>
  </r>
  <r>
    <x v="66"/>
    <s v="Fábio Nobre"/>
    <x v="0"/>
    <d v="2024-05-02T00:00:00"/>
    <x v="0"/>
    <n v="15"/>
    <x v="2"/>
    <s v="Yes"/>
    <n v="30"/>
    <s v="Yes"/>
    <n v="20"/>
    <n v="7"/>
    <n v="58"/>
  </r>
  <r>
    <x v="67"/>
    <s v="Gabriel Oliveira"/>
    <x v="2"/>
    <d v="2024-05-03T00:00:00"/>
    <x v="1"/>
    <n v="10"/>
    <x v="1"/>
    <s v="No"/>
    <s v="-"/>
    <s v="Yes"/>
    <n v="20"/>
    <n v="10"/>
    <n v="20"/>
  </r>
  <r>
    <x v="68"/>
    <s v="Helena Santos"/>
    <x v="1"/>
    <d v="2024-05-04T00:00:00"/>
    <x v="0"/>
    <n v="5"/>
    <x v="2"/>
    <s v="No"/>
    <s v="-"/>
    <s v="No"/>
    <n v="0"/>
    <n v="1"/>
    <n v="4"/>
  </r>
  <r>
    <x v="69"/>
    <s v="Ivan Carvalho"/>
    <x v="0"/>
    <d v="2024-05-05T00:00:00"/>
    <x v="1"/>
    <n v="15"/>
    <x v="0"/>
    <s v="Yes"/>
    <n v="30"/>
    <s v="Yes"/>
    <n v="20"/>
    <n v="15"/>
    <n v="50"/>
  </r>
  <r>
    <x v="70"/>
    <s v="Júlia Ferreira"/>
    <x v="2"/>
    <d v="2024-05-06T00:00:00"/>
    <x v="0"/>
    <n v="10"/>
    <x v="0"/>
    <s v="No"/>
    <s v="-"/>
    <s v="Yes"/>
    <n v="20"/>
    <n v="5"/>
    <n v="25"/>
  </r>
  <r>
    <x v="71"/>
    <s v="Karla Alves"/>
    <x v="1"/>
    <d v="2024-05-07T00:00:00"/>
    <x v="1"/>
    <n v="5"/>
    <x v="1"/>
    <s v="No"/>
    <s v="-"/>
    <s v="No"/>
    <n v="0"/>
    <n v="0"/>
    <n v="5"/>
  </r>
  <r>
    <x v="72"/>
    <s v="Lucas Mendes"/>
    <x v="0"/>
    <d v="2024-05-08T00:00:00"/>
    <x v="0"/>
    <n v="15"/>
    <x v="2"/>
    <s v="Yes"/>
    <n v="30"/>
    <s v="Yes"/>
    <n v="20"/>
    <n v="20"/>
    <n v="45"/>
  </r>
  <r>
    <x v="73"/>
    <s v="Mônica Gomes"/>
    <x v="2"/>
    <d v="2024-05-09T00:00:00"/>
    <x v="1"/>
    <n v="10"/>
    <x v="2"/>
    <s v="No"/>
    <s v="-"/>
    <s v="Yes"/>
    <n v="20"/>
    <n v="12"/>
    <n v="18"/>
  </r>
  <r>
    <x v="74"/>
    <s v="Norberto Queiroz"/>
    <x v="1"/>
    <d v="2024-05-10T00:00:00"/>
    <x v="0"/>
    <n v="5"/>
    <x v="0"/>
    <s v="No"/>
    <s v="-"/>
    <s v="No"/>
    <n v="0"/>
    <n v="2"/>
    <n v="3"/>
  </r>
  <r>
    <x v="75"/>
    <s v="Otávio Barros"/>
    <x v="0"/>
    <d v="2024-05-11T00:00:00"/>
    <x v="1"/>
    <n v="15"/>
    <x v="1"/>
    <s v="Yes"/>
    <n v="30"/>
    <s v="Yes"/>
    <n v="20"/>
    <n v="5"/>
    <n v="60"/>
  </r>
  <r>
    <x v="76"/>
    <s v="Paula Vieira"/>
    <x v="2"/>
    <d v="2024-05-12T00:00:00"/>
    <x v="0"/>
    <n v="10"/>
    <x v="0"/>
    <s v="No"/>
    <s v="-"/>
    <s v="Yes"/>
    <n v="20"/>
    <n v="10"/>
    <n v="20"/>
  </r>
  <r>
    <x v="77"/>
    <s v="Quentin Ramos"/>
    <x v="1"/>
    <d v="2024-05-13T00:00:00"/>
    <x v="1"/>
    <n v="5"/>
    <x v="2"/>
    <s v="No"/>
    <s v="-"/>
    <s v="No"/>
    <n v="0"/>
    <n v="0"/>
    <n v="5"/>
  </r>
  <r>
    <x v="78"/>
    <s v="Raquel Novaes"/>
    <x v="0"/>
    <d v="2024-05-14T00:00:00"/>
    <x v="0"/>
    <n v="15"/>
    <x v="0"/>
    <s v="Yes"/>
    <n v="30"/>
    <s v="Yes"/>
    <n v="20"/>
    <n v="3"/>
    <n v="62"/>
  </r>
  <r>
    <x v="79"/>
    <s v="Samantha Lopes"/>
    <x v="2"/>
    <d v="2024-05-15T00:00:00"/>
    <x v="1"/>
    <n v="10"/>
    <x v="1"/>
    <s v="No"/>
    <s v="-"/>
    <s v="Yes"/>
    <n v="20"/>
    <n v="15"/>
    <n v="15"/>
  </r>
  <r>
    <x v="80"/>
    <s v="Tiago Martins"/>
    <x v="1"/>
    <d v="2024-05-16T00:00:00"/>
    <x v="0"/>
    <n v="5"/>
    <x v="0"/>
    <s v="No"/>
    <s v="-"/>
    <s v="No"/>
    <n v="0"/>
    <n v="1"/>
    <n v="4"/>
  </r>
  <r>
    <x v="81"/>
    <s v="Ulysses Guimarães"/>
    <x v="0"/>
    <d v="2024-05-17T00:00:00"/>
    <x v="1"/>
    <n v="15"/>
    <x v="2"/>
    <s v="Yes"/>
    <n v="30"/>
    <s v="Yes"/>
    <n v="20"/>
    <n v="7"/>
    <n v="58"/>
  </r>
  <r>
    <x v="82"/>
    <s v="Vanessa Silva"/>
    <x v="2"/>
    <d v="2024-05-18T00:00:00"/>
    <x v="0"/>
    <n v="10"/>
    <x v="0"/>
    <s v="No"/>
    <s v="-"/>
    <s v="Yes"/>
    <n v="20"/>
    <n v="10"/>
    <n v="20"/>
  </r>
  <r>
    <x v="83"/>
    <s v="William Carneiro"/>
    <x v="1"/>
    <d v="2024-05-19T00:00:00"/>
    <x v="1"/>
    <n v="5"/>
    <x v="1"/>
    <s v="No"/>
    <s v="-"/>
    <s v="No"/>
    <n v="0"/>
    <n v="0"/>
    <n v="5"/>
  </r>
  <r>
    <x v="84"/>
    <s v="Ximena Rocha"/>
    <x v="0"/>
    <d v="2024-05-20T00:00:00"/>
    <x v="0"/>
    <n v="15"/>
    <x v="0"/>
    <s v="Yes"/>
    <n v="30"/>
    <s v="Yes"/>
    <n v="20"/>
    <n v="20"/>
    <n v="45"/>
  </r>
  <r>
    <x v="85"/>
    <s v="Yasmin Figueiredo"/>
    <x v="2"/>
    <d v="2024-05-21T00:00:00"/>
    <x v="1"/>
    <n v="10"/>
    <x v="2"/>
    <s v="No"/>
    <s v="-"/>
    <s v="Yes"/>
    <n v="20"/>
    <n v="15"/>
    <n v="15"/>
  </r>
  <r>
    <x v="86"/>
    <s v="Zara Cunha"/>
    <x v="1"/>
    <d v="2024-05-22T00:00:00"/>
    <x v="0"/>
    <n v="5"/>
    <x v="0"/>
    <s v="No"/>
    <s v="-"/>
    <s v="No"/>
    <n v="0"/>
    <n v="1"/>
    <n v="4"/>
  </r>
  <r>
    <x v="87"/>
    <s v="Alan Teixeira"/>
    <x v="0"/>
    <d v="2024-05-23T00:00:00"/>
    <x v="1"/>
    <n v="15"/>
    <x v="1"/>
    <s v="Yes"/>
    <n v="30"/>
    <s v="Yes"/>
    <n v="20"/>
    <n v="3"/>
    <n v="62"/>
  </r>
  <r>
    <x v="88"/>
    <s v="Bárbara Oliveira"/>
    <x v="2"/>
    <d v="2024-05-24T00:00:00"/>
    <x v="0"/>
    <n v="10"/>
    <x v="0"/>
    <s v="No"/>
    <s v="-"/>
    <s v="Yes"/>
    <n v="20"/>
    <n v="10"/>
    <n v="20"/>
  </r>
  <r>
    <x v="89"/>
    <s v="Carlos Junqueira"/>
    <x v="1"/>
    <d v="2024-05-25T00:00:00"/>
    <x v="1"/>
    <n v="5"/>
    <x v="2"/>
    <s v="No"/>
    <s v="-"/>
    <s v="No"/>
    <n v="0"/>
    <n v="0"/>
    <n v="5"/>
  </r>
  <r>
    <x v="90"/>
    <s v="Daniela Moura"/>
    <x v="0"/>
    <d v="2024-05-26T00:00:00"/>
    <x v="0"/>
    <n v="15"/>
    <x v="0"/>
    <s v="Yes"/>
    <n v="30"/>
    <s v="Yes"/>
    <n v="20"/>
    <n v="5"/>
    <n v="60"/>
  </r>
  <r>
    <x v="91"/>
    <s v="Eduardo Lima"/>
    <x v="2"/>
    <d v="2024-05-27T00:00:00"/>
    <x v="1"/>
    <n v="10"/>
    <x v="1"/>
    <s v="No"/>
    <s v="-"/>
    <s v="Yes"/>
    <n v="20"/>
    <n v="15"/>
    <n v="15"/>
  </r>
  <r>
    <x v="92"/>
    <s v="Fabiana Araújo"/>
    <x v="1"/>
    <d v="2024-05-28T00:00:00"/>
    <x v="0"/>
    <n v="5"/>
    <x v="0"/>
    <s v="No"/>
    <s v="-"/>
    <s v="No"/>
    <n v="0"/>
    <n v="1"/>
    <n v="4"/>
  </r>
  <r>
    <x v="93"/>
    <s v="Geraldo Ribeiro"/>
    <x v="0"/>
    <d v="2024-05-29T00:00:00"/>
    <x v="1"/>
    <n v="15"/>
    <x v="2"/>
    <s v="Yes"/>
    <n v="30"/>
    <s v="Yes"/>
    <n v="20"/>
    <n v="20"/>
    <n v="45"/>
  </r>
  <r>
    <x v="94"/>
    <s v="Héctor Vargas"/>
    <x v="2"/>
    <d v="2024-05-30T00:00:00"/>
    <x v="0"/>
    <n v="10"/>
    <x v="2"/>
    <s v="No"/>
    <s v="-"/>
    <s v="Yes"/>
    <n v="20"/>
    <n v="15"/>
    <n v="15"/>
  </r>
  <r>
    <x v="95"/>
    <s v="Isabela Fonseca"/>
    <x v="1"/>
    <d v="2024-05-31T00:00:00"/>
    <x v="1"/>
    <n v="5"/>
    <x v="1"/>
    <s v="No"/>
    <s v="-"/>
    <s v="No"/>
    <n v="0"/>
    <n v="0"/>
    <n v="5"/>
  </r>
  <r>
    <x v="96"/>
    <s v="João Pedro Almeida"/>
    <x v="0"/>
    <d v="2024-06-01T00:00:00"/>
    <x v="0"/>
    <n v="15"/>
    <x v="0"/>
    <s v="Yes"/>
    <n v="30"/>
    <s v="Yes"/>
    <n v="20"/>
    <n v="7"/>
    <n v="58"/>
  </r>
  <r>
    <x v="97"/>
    <s v="Klara Costa"/>
    <x v="2"/>
    <d v="2024-06-02T00:00:00"/>
    <x v="1"/>
    <n v="10"/>
    <x v="1"/>
    <s v="No"/>
    <s v="-"/>
    <s v="Yes"/>
    <n v="20"/>
    <n v="10"/>
    <n v="20"/>
  </r>
  <r>
    <x v="98"/>
    <s v="Luciana Mendes"/>
    <x v="1"/>
    <d v="2024-06-03T00:00:00"/>
    <x v="0"/>
    <n v="5"/>
    <x v="2"/>
    <s v="No"/>
    <s v="-"/>
    <s v="No"/>
    <n v="0"/>
    <n v="1"/>
    <n v="4"/>
  </r>
  <r>
    <x v="99"/>
    <s v="Marcelo Gouveia"/>
    <x v="0"/>
    <d v="2024-06-04T00:00:00"/>
    <x v="1"/>
    <n v="15"/>
    <x v="0"/>
    <s v="Yes"/>
    <n v="30"/>
    <s v="Yes"/>
    <n v="20"/>
    <n v="15"/>
    <n v="50"/>
  </r>
  <r>
    <x v="100"/>
    <s v="Nívea Borges"/>
    <x v="2"/>
    <d v="2024-06-05T00:00:00"/>
    <x v="0"/>
    <n v="10"/>
    <x v="0"/>
    <s v="No"/>
    <s v="-"/>
    <s v="Yes"/>
    <n v="20"/>
    <n v="5"/>
    <n v="25"/>
  </r>
  <r>
    <x v="101"/>
    <s v="Oscar Nogueira"/>
    <x v="1"/>
    <d v="2024-06-06T00:00:00"/>
    <x v="1"/>
    <n v="5"/>
    <x v="1"/>
    <s v="No"/>
    <s v="-"/>
    <s v="No"/>
    <n v="0"/>
    <n v="0"/>
    <n v="5"/>
  </r>
  <r>
    <x v="102"/>
    <s v="Patrícia Alves"/>
    <x v="0"/>
    <d v="2024-06-07T00:00:00"/>
    <x v="0"/>
    <n v="15"/>
    <x v="2"/>
    <s v="Yes"/>
    <n v="30"/>
    <s v="Yes"/>
    <n v="20"/>
    <n v="20"/>
    <n v="45"/>
  </r>
  <r>
    <x v="103"/>
    <s v="Rafaela Silva"/>
    <x v="2"/>
    <d v="2024-06-08T00:00:00"/>
    <x v="1"/>
    <n v="10"/>
    <x v="2"/>
    <s v="No"/>
    <s v="-"/>
    <s v="Yes"/>
    <n v="20"/>
    <n v="12"/>
    <n v="18"/>
  </r>
  <r>
    <x v="104"/>
    <s v="Samantha Moraes"/>
    <x v="1"/>
    <d v="2024-06-09T00:00:00"/>
    <x v="0"/>
    <n v="5"/>
    <x v="0"/>
    <s v="No"/>
    <s v="-"/>
    <s v="No"/>
    <n v="0"/>
    <n v="2"/>
    <n v="3"/>
  </r>
  <r>
    <x v="105"/>
    <s v="Tatiana Rocha"/>
    <x v="1"/>
    <d v="2024-06-10T00:00:00"/>
    <x v="0"/>
    <n v="5"/>
    <x v="0"/>
    <s v="No"/>
    <s v="-"/>
    <s v="No"/>
    <n v="0"/>
    <n v="0"/>
    <n v="5"/>
  </r>
  <r>
    <x v="106"/>
    <s v="Ulisses Tavares"/>
    <x v="0"/>
    <d v="2024-06-11T00:00:00"/>
    <x v="1"/>
    <n v="15"/>
    <x v="2"/>
    <s v="Yes"/>
    <n v="30"/>
    <s v="Yes"/>
    <n v="20"/>
    <n v="7"/>
    <n v="58"/>
  </r>
  <r>
    <x v="107"/>
    <s v="Víctor Lemos"/>
    <x v="2"/>
    <d v="2024-06-12T00:00:00"/>
    <x v="0"/>
    <n v="10"/>
    <x v="1"/>
    <s v="No"/>
    <s v="-"/>
    <s v="Yes"/>
    <n v="20"/>
    <n v="10"/>
    <n v="20"/>
  </r>
  <r>
    <x v="108"/>
    <s v="Wilma Barros"/>
    <x v="1"/>
    <d v="2024-06-13T00:00:00"/>
    <x v="1"/>
    <n v="5"/>
    <x v="2"/>
    <s v="No"/>
    <s v="-"/>
    <s v="No"/>
    <n v="0"/>
    <n v="1"/>
    <n v="4"/>
  </r>
  <r>
    <x v="109"/>
    <s v="Xavier Nascimento"/>
    <x v="0"/>
    <d v="2024-06-14T00:00:00"/>
    <x v="0"/>
    <n v="15"/>
    <x v="0"/>
    <s v="Yes"/>
    <n v="30"/>
    <s v="Yes"/>
    <n v="20"/>
    <n v="15"/>
    <n v="50"/>
  </r>
  <r>
    <x v="110"/>
    <s v="Yago Pereira"/>
    <x v="2"/>
    <d v="2024-06-15T00:00:00"/>
    <x v="1"/>
    <n v="10"/>
    <x v="0"/>
    <s v="No"/>
    <s v="-"/>
    <s v="Yes"/>
    <n v="20"/>
    <n v="5"/>
    <n v="25"/>
  </r>
  <r>
    <x v="111"/>
    <s v="Zilda Ferreira"/>
    <x v="1"/>
    <d v="2024-06-16T00:00:00"/>
    <x v="0"/>
    <n v="5"/>
    <x v="1"/>
    <s v="No"/>
    <s v="-"/>
    <s v="No"/>
    <n v="0"/>
    <n v="0"/>
    <n v="5"/>
  </r>
  <r>
    <x v="112"/>
    <s v="Amanda Lopes"/>
    <x v="0"/>
    <d v="2024-06-17T00:00:00"/>
    <x v="1"/>
    <n v="15"/>
    <x v="2"/>
    <s v="Yes"/>
    <n v="30"/>
    <s v="Yes"/>
    <n v="20"/>
    <n v="20"/>
    <n v="45"/>
  </r>
  <r>
    <x v="113"/>
    <s v="Bruno Miranda"/>
    <x v="2"/>
    <d v="2024-06-18T00:00:00"/>
    <x v="0"/>
    <n v="10"/>
    <x v="2"/>
    <s v="No"/>
    <s v="-"/>
    <s v="Yes"/>
    <n v="20"/>
    <n v="12"/>
    <n v="18"/>
  </r>
  <r>
    <x v="114"/>
    <s v="Célia Torres"/>
    <x v="1"/>
    <d v="2024-06-19T00:00:00"/>
    <x v="1"/>
    <n v="5"/>
    <x v="0"/>
    <s v="No"/>
    <s v="-"/>
    <s v="No"/>
    <n v="0"/>
    <n v="2"/>
    <n v="3"/>
  </r>
  <r>
    <x v="115"/>
    <s v="Diogo Souza"/>
    <x v="0"/>
    <d v="2024-06-20T00:00:00"/>
    <x v="0"/>
    <n v="15"/>
    <x v="1"/>
    <s v="Yes"/>
    <n v="30"/>
    <s v="Yes"/>
    <n v="20"/>
    <n v="5"/>
    <n v="60"/>
  </r>
  <r>
    <x v="116"/>
    <s v="Elisa Castro"/>
    <x v="2"/>
    <d v="2024-06-21T00:00:00"/>
    <x v="1"/>
    <n v="10"/>
    <x v="0"/>
    <s v="No"/>
    <s v="-"/>
    <s v="Yes"/>
    <n v="20"/>
    <n v="10"/>
    <n v="20"/>
  </r>
  <r>
    <x v="117"/>
    <s v="Fátima Lima"/>
    <x v="1"/>
    <d v="2024-06-22T00:00:00"/>
    <x v="0"/>
    <n v="5"/>
    <x v="2"/>
    <s v="No"/>
    <s v="-"/>
    <s v="No"/>
    <n v="0"/>
    <n v="0"/>
    <n v="5"/>
  </r>
  <r>
    <x v="118"/>
    <s v="Geraldo Ribeiro"/>
    <x v="0"/>
    <d v="2024-06-23T00:00:00"/>
    <x v="1"/>
    <n v="15"/>
    <x v="0"/>
    <s v="Yes"/>
    <n v="30"/>
    <s v="Yes"/>
    <n v="20"/>
    <n v="3"/>
    <n v="62"/>
  </r>
  <r>
    <x v="119"/>
    <s v="Hélio Martins"/>
    <x v="2"/>
    <d v="2024-06-24T00:00:00"/>
    <x v="0"/>
    <n v="10"/>
    <x v="1"/>
    <s v="No"/>
    <s v="-"/>
    <s v="Yes"/>
    <n v="20"/>
    <n v="15"/>
    <n v="15"/>
  </r>
  <r>
    <x v="120"/>
    <s v="Íris Santos"/>
    <x v="1"/>
    <d v="2024-06-25T00:00:00"/>
    <x v="1"/>
    <n v="5"/>
    <x v="0"/>
    <s v="No"/>
    <s v="-"/>
    <s v="No"/>
    <n v="0"/>
    <n v="1"/>
    <n v="4"/>
  </r>
  <r>
    <x v="121"/>
    <s v="João Marcelo"/>
    <x v="0"/>
    <d v="2024-06-26T00:00:00"/>
    <x v="0"/>
    <n v="15"/>
    <x v="2"/>
    <s v="Yes"/>
    <n v="30"/>
    <s v="Yes"/>
    <n v="20"/>
    <n v="7"/>
    <n v="58"/>
  </r>
  <r>
    <x v="122"/>
    <s v="Larissa Gomes"/>
    <x v="2"/>
    <d v="2024-06-27T00:00:00"/>
    <x v="1"/>
    <n v="10"/>
    <x v="0"/>
    <s v="No"/>
    <s v="-"/>
    <s v="Yes"/>
    <n v="20"/>
    <n v="10"/>
    <n v="20"/>
  </r>
  <r>
    <x v="123"/>
    <s v="Márcio Silva"/>
    <x v="1"/>
    <d v="2024-06-28T00:00:00"/>
    <x v="0"/>
    <n v="5"/>
    <x v="1"/>
    <s v="No"/>
    <s v="-"/>
    <s v="No"/>
    <n v="0"/>
    <n v="0"/>
    <n v="5"/>
  </r>
  <r>
    <x v="124"/>
    <s v="Nadia Costa"/>
    <x v="0"/>
    <d v="2024-06-29T00:00:00"/>
    <x v="1"/>
    <n v="15"/>
    <x v="0"/>
    <s v="Yes"/>
    <n v="30"/>
    <s v="Yes"/>
    <n v="20"/>
    <n v="20"/>
    <n v="45"/>
  </r>
  <r>
    <x v="125"/>
    <s v="Oscar Almeida"/>
    <x v="2"/>
    <d v="2024-06-30T00:00:00"/>
    <x v="0"/>
    <n v="10"/>
    <x v="2"/>
    <s v="No"/>
    <s v="-"/>
    <s v="Yes"/>
    <n v="20"/>
    <n v="15"/>
    <n v="15"/>
  </r>
  <r>
    <x v="126"/>
    <s v="Patricia Soares"/>
    <x v="1"/>
    <d v="2024-07-01T00:00:00"/>
    <x v="1"/>
    <n v="5"/>
    <x v="0"/>
    <s v="No"/>
    <s v="-"/>
    <s v="No"/>
    <n v="0"/>
    <n v="1"/>
    <n v="4"/>
  </r>
  <r>
    <x v="127"/>
    <s v="Quênia Barros"/>
    <x v="0"/>
    <d v="2024-07-02T00:00:00"/>
    <x v="0"/>
    <n v="15"/>
    <x v="1"/>
    <s v="Yes"/>
    <n v="30"/>
    <s v="Yes"/>
    <n v="20"/>
    <n v="3"/>
    <n v="62"/>
  </r>
  <r>
    <x v="128"/>
    <s v="Rafael Torres"/>
    <x v="2"/>
    <d v="2024-07-03T00:00:00"/>
    <x v="1"/>
    <n v="10"/>
    <x v="0"/>
    <s v="No"/>
    <s v="-"/>
    <s v="Yes"/>
    <n v="20"/>
    <n v="10"/>
    <n v="20"/>
  </r>
  <r>
    <x v="129"/>
    <s v="Silvia Nascimento"/>
    <x v="1"/>
    <d v="2024-07-04T00:00:00"/>
    <x v="0"/>
    <n v="5"/>
    <x v="2"/>
    <s v="No"/>
    <s v="-"/>
    <s v="No"/>
    <n v="0"/>
    <n v="0"/>
    <n v="5"/>
  </r>
  <r>
    <x v="130"/>
    <s v="Tiago Mendes"/>
    <x v="0"/>
    <d v="2024-07-05T00:00:00"/>
    <x v="1"/>
    <n v="15"/>
    <x v="0"/>
    <s v="Yes"/>
    <n v="30"/>
    <s v="Yes"/>
    <n v="20"/>
    <n v="15"/>
    <n v="50"/>
  </r>
  <r>
    <x v="131"/>
    <s v="Ursula Silva"/>
    <x v="2"/>
    <d v="2024-07-06T00:00:00"/>
    <x v="0"/>
    <n v="10"/>
    <x v="1"/>
    <s v="No"/>
    <s v="-"/>
    <s v="Yes"/>
    <n v="20"/>
    <n v="15"/>
    <n v="15"/>
  </r>
  <r>
    <x v="132"/>
    <s v="Vanessa Moraes"/>
    <x v="1"/>
    <d v="2024-07-07T00:00:00"/>
    <x v="1"/>
    <n v="5"/>
    <x v="0"/>
    <s v="No"/>
    <s v="-"/>
    <s v="No"/>
    <n v="0"/>
    <n v="1"/>
    <n v="4"/>
  </r>
  <r>
    <x v="133"/>
    <s v="Waldir Junior"/>
    <x v="0"/>
    <d v="2024-07-08T00:00:00"/>
    <x v="0"/>
    <n v="15"/>
    <x v="2"/>
    <s v="Yes"/>
    <n v="30"/>
    <s v="Yes"/>
    <n v="20"/>
    <n v="7"/>
    <n v="58"/>
  </r>
  <r>
    <x v="134"/>
    <s v="Xavier Lopes"/>
    <x v="2"/>
    <d v="2024-07-09T00:00:00"/>
    <x v="1"/>
    <n v="10"/>
    <x v="0"/>
    <s v="No"/>
    <s v="-"/>
    <s v="Yes"/>
    <n v="20"/>
    <n v="10"/>
    <n v="20"/>
  </r>
  <r>
    <x v="135"/>
    <s v="Yolanda Freitas"/>
    <x v="1"/>
    <d v="2024-07-10T00:00:00"/>
    <x v="0"/>
    <n v="5"/>
    <x v="0"/>
    <s v="No"/>
    <s v="-"/>
    <s v="No"/>
    <n v="0"/>
    <n v="0"/>
    <n v="5"/>
  </r>
  <r>
    <x v="136"/>
    <s v="Zacarias Nunes"/>
    <x v="0"/>
    <d v="2024-07-11T00:00:00"/>
    <x v="1"/>
    <n v="15"/>
    <x v="2"/>
    <s v="Yes"/>
    <n v="30"/>
    <s v="Yes"/>
    <n v="20"/>
    <n v="7"/>
    <n v="58"/>
  </r>
  <r>
    <x v="137"/>
    <s v="Ana Clara Barreto"/>
    <x v="2"/>
    <d v="2024-07-12T00:00:00"/>
    <x v="0"/>
    <n v="10"/>
    <x v="1"/>
    <s v="No"/>
    <s v="-"/>
    <s v="Yes"/>
    <n v="20"/>
    <n v="10"/>
    <n v="20"/>
  </r>
  <r>
    <x v="138"/>
    <s v="Bruno Henrique"/>
    <x v="1"/>
    <d v="2024-07-13T00:00:00"/>
    <x v="1"/>
    <n v="5"/>
    <x v="2"/>
    <s v="No"/>
    <s v="-"/>
    <s v="No"/>
    <n v="0"/>
    <n v="1"/>
    <n v="4"/>
  </r>
  <r>
    <x v="139"/>
    <s v="Carlos Eduardo"/>
    <x v="0"/>
    <d v="2024-07-14T00:00:00"/>
    <x v="0"/>
    <n v="15"/>
    <x v="0"/>
    <s v="Yes"/>
    <n v="30"/>
    <s v="Yes"/>
    <n v="20"/>
    <n v="15"/>
    <n v="50"/>
  </r>
  <r>
    <x v="140"/>
    <s v="Débora Lima"/>
    <x v="2"/>
    <d v="2024-07-15T00:00:00"/>
    <x v="1"/>
    <n v="10"/>
    <x v="0"/>
    <s v="No"/>
    <s v="-"/>
    <s v="Yes"/>
    <n v="20"/>
    <n v="5"/>
    <n v="25"/>
  </r>
  <r>
    <x v="141"/>
    <s v="Elisa Neves"/>
    <x v="1"/>
    <d v="2024-07-16T00:00:00"/>
    <x v="0"/>
    <n v="5"/>
    <x v="1"/>
    <s v="No"/>
    <s v="-"/>
    <s v="No"/>
    <n v="0"/>
    <n v="0"/>
    <n v="5"/>
  </r>
  <r>
    <x v="142"/>
    <s v="Fabiano Gomes"/>
    <x v="0"/>
    <d v="2024-07-17T00:00:00"/>
    <x v="1"/>
    <n v="15"/>
    <x v="2"/>
    <s v="Yes"/>
    <n v="30"/>
    <s v="Yes"/>
    <n v="20"/>
    <n v="20"/>
    <n v="45"/>
  </r>
  <r>
    <x v="143"/>
    <s v="Gisele Oliveira"/>
    <x v="2"/>
    <d v="2024-07-18T00:00:00"/>
    <x v="0"/>
    <n v="10"/>
    <x v="2"/>
    <s v="No"/>
    <s v="-"/>
    <s v="Yes"/>
    <n v="20"/>
    <n v="12"/>
    <n v="18"/>
  </r>
  <r>
    <x v="144"/>
    <s v="Héctor Silva"/>
    <x v="1"/>
    <d v="2024-07-19T00:00:00"/>
    <x v="1"/>
    <n v="5"/>
    <x v="0"/>
    <s v="No"/>
    <s v="-"/>
    <s v="No"/>
    <n v="0"/>
    <n v="2"/>
    <n v="3"/>
  </r>
  <r>
    <x v="145"/>
    <s v="Igor Martins"/>
    <x v="0"/>
    <d v="2024-07-20T00:00:00"/>
    <x v="0"/>
    <n v="15"/>
    <x v="1"/>
    <s v="Yes"/>
    <n v="30"/>
    <s v="Yes"/>
    <n v="20"/>
    <n v="5"/>
    <n v="60"/>
  </r>
  <r>
    <x v="146"/>
    <s v="Joana Figueiredo"/>
    <x v="2"/>
    <d v="2024-07-21T00:00:00"/>
    <x v="1"/>
    <n v="10"/>
    <x v="0"/>
    <s v="No"/>
    <s v="-"/>
    <s v="Yes"/>
    <n v="20"/>
    <n v="10"/>
    <n v="20"/>
  </r>
  <r>
    <x v="147"/>
    <s v="Kleber Machado"/>
    <x v="1"/>
    <d v="2024-07-22T00:00:00"/>
    <x v="0"/>
    <n v="5"/>
    <x v="2"/>
    <s v="No"/>
    <s v="-"/>
    <s v="No"/>
    <n v="0"/>
    <n v="0"/>
    <n v="5"/>
  </r>
  <r>
    <x v="148"/>
    <s v="Luciana Santos"/>
    <x v="0"/>
    <d v="2024-07-23T00:00:00"/>
    <x v="1"/>
    <n v="15"/>
    <x v="0"/>
    <s v="Yes"/>
    <n v="30"/>
    <s v="Yes"/>
    <n v="20"/>
    <n v="3"/>
    <n v="62"/>
  </r>
  <r>
    <x v="149"/>
    <s v="Marcos Teixeira"/>
    <x v="2"/>
    <d v="2024-07-24T00:00:00"/>
    <x v="0"/>
    <n v="10"/>
    <x v="1"/>
    <s v="No"/>
    <s v="-"/>
    <s v="Yes"/>
    <n v="20"/>
    <n v="15"/>
    <n v="15"/>
  </r>
  <r>
    <x v="150"/>
    <s v="Natalia Costa"/>
    <x v="1"/>
    <d v="2024-07-25T00:00:00"/>
    <x v="1"/>
    <n v="5"/>
    <x v="0"/>
    <s v="No"/>
    <s v="-"/>
    <s v="No"/>
    <n v="0"/>
    <n v="1"/>
    <n v="4"/>
  </r>
  <r>
    <x v="151"/>
    <s v="Oscar Ribeiro"/>
    <x v="0"/>
    <d v="2024-07-26T00:00:00"/>
    <x v="0"/>
    <n v="15"/>
    <x v="2"/>
    <s v="Yes"/>
    <n v="30"/>
    <s v="Yes"/>
    <n v="20"/>
    <n v="7"/>
    <n v="58"/>
  </r>
  <r>
    <x v="152"/>
    <s v="Patricia Almeida"/>
    <x v="2"/>
    <d v="2024-07-27T00:00:00"/>
    <x v="1"/>
    <n v="10"/>
    <x v="0"/>
    <s v="No"/>
    <s v="-"/>
    <s v="Yes"/>
    <n v="20"/>
    <n v="10"/>
    <n v="20"/>
  </r>
  <r>
    <x v="153"/>
    <s v="Quirino Junior"/>
    <x v="1"/>
    <d v="2024-07-28T00:00:00"/>
    <x v="0"/>
    <n v="5"/>
    <x v="1"/>
    <s v="No"/>
    <s v="-"/>
    <s v="No"/>
    <n v="0"/>
    <n v="0"/>
    <n v="5"/>
  </r>
  <r>
    <x v="154"/>
    <s v="Renata Machado"/>
    <x v="0"/>
    <d v="2024-07-29T00:00:00"/>
    <x v="1"/>
    <n v="15"/>
    <x v="0"/>
    <s v="Yes"/>
    <n v="30"/>
    <s v="Yes"/>
    <n v="20"/>
    <n v="20"/>
    <n v="45"/>
  </r>
  <r>
    <x v="155"/>
    <s v="Sônia Alves"/>
    <x v="2"/>
    <d v="2024-07-30T00:00:00"/>
    <x v="0"/>
    <n v="10"/>
    <x v="2"/>
    <s v="No"/>
    <s v="-"/>
    <s v="Yes"/>
    <n v="20"/>
    <n v="15"/>
    <n v="15"/>
  </r>
  <r>
    <x v="156"/>
    <s v="Tiago Nunes"/>
    <x v="1"/>
    <d v="2024-07-31T00:00:00"/>
    <x v="1"/>
    <n v="5"/>
    <x v="0"/>
    <s v="No"/>
    <s v="-"/>
    <s v="No"/>
    <n v="0"/>
    <n v="1"/>
    <n v="4"/>
  </r>
  <r>
    <x v="157"/>
    <s v="Ulysses Pereira"/>
    <x v="0"/>
    <d v="2024-08-01T00:00:00"/>
    <x v="0"/>
    <n v="15"/>
    <x v="1"/>
    <s v="Yes"/>
    <n v="30"/>
    <s v="Yes"/>
    <n v="20"/>
    <n v="3"/>
    <n v="62"/>
  </r>
  <r>
    <x v="158"/>
    <s v="Vanessa Lima"/>
    <x v="2"/>
    <d v="2024-08-02T00:00:00"/>
    <x v="1"/>
    <n v="10"/>
    <x v="0"/>
    <s v="No"/>
    <s v="-"/>
    <s v="Yes"/>
    <n v="20"/>
    <n v="10"/>
    <n v="20"/>
  </r>
  <r>
    <x v="159"/>
    <s v="Wagner Santos"/>
    <x v="1"/>
    <d v="2024-08-03T00:00:00"/>
    <x v="0"/>
    <n v="5"/>
    <x v="2"/>
    <s v="No"/>
    <s v="-"/>
    <s v="No"/>
    <n v="0"/>
    <n v="0"/>
    <n v="5"/>
  </r>
  <r>
    <x v="160"/>
    <s v="Xuxa Meneghel"/>
    <x v="0"/>
    <d v="2024-08-04T00:00:00"/>
    <x v="1"/>
    <n v="15"/>
    <x v="0"/>
    <s v="Yes"/>
    <n v="30"/>
    <s v="Yes"/>
    <n v="20"/>
    <n v="15"/>
    <n v="50"/>
  </r>
  <r>
    <x v="161"/>
    <s v="Yasmin Silva"/>
    <x v="2"/>
    <d v="2024-08-05T00:00:00"/>
    <x v="0"/>
    <n v="10"/>
    <x v="1"/>
    <s v="No"/>
    <s v="-"/>
    <s v="Yes"/>
    <n v="20"/>
    <n v="15"/>
    <n v="15"/>
  </r>
  <r>
    <x v="162"/>
    <s v="Zacarias de Souza"/>
    <x v="1"/>
    <d v="2024-08-06T00:00:00"/>
    <x v="1"/>
    <n v="5"/>
    <x v="0"/>
    <s v="No"/>
    <s v="-"/>
    <s v="No"/>
    <n v="0"/>
    <n v="1"/>
    <n v="4"/>
  </r>
  <r>
    <x v="163"/>
    <s v="André Lima"/>
    <x v="0"/>
    <d v="2024-08-07T00:00:00"/>
    <x v="0"/>
    <n v="15"/>
    <x v="2"/>
    <s v="Yes"/>
    <n v="30"/>
    <s v="Yes"/>
    <n v="20"/>
    <n v="7"/>
    <n v="58"/>
  </r>
  <r>
    <x v="164"/>
    <s v="Bianca Freitas"/>
    <x v="2"/>
    <d v="2024-08-08T00:00:00"/>
    <x v="1"/>
    <n v="10"/>
    <x v="0"/>
    <s v="No"/>
    <s v="-"/>
    <s v="Yes"/>
    <n v="20"/>
    <n v="10"/>
    <n v="20"/>
  </r>
  <r>
    <x v="165"/>
    <s v="Caio Mendes"/>
    <x v="1"/>
    <d v="2024-08-09T00:00:00"/>
    <x v="0"/>
    <n v="5"/>
    <x v="1"/>
    <s v="No"/>
    <s v="-"/>
    <s v="No"/>
    <n v="0"/>
    <n v="0"/>
    <n v="5"/>
  </r>
  <r>
    <x v="166"/>
    <s v="Daniela Moura"/>
    <x v="0"/>
    <d v="2024-08-10T00:00:00"/>
    <x v="1"/>
    <n v="15"/>
    <x v="0"/>
    <s v="Yes"/>
    <n v="30"/>
    <s v="Yes"/>
    <n v="20"/>
    <n v="20"/>
    <n v="45"/>
  </r>
  <r>
    <x v="167"/>
    <s v="Eduardo Costa"/>
    <x v="2"/>
    <d v="2024-08-11T00:00:00"/>
    <x v="0"/>
    <n v="10"/>
    <x v="2"/>
    <s v="No"/>
    <s v="-"/>
    <s v="Yes"/>
    <n v="20"/>
    <n v="15"/>
    <n v="15"/>
  </r>
  <r>
    <x v="168"/>
    <s v="Fernanda Gomes"/>
    <x v="1"/>
    <d v="2024-08-12T00:00:00"/>
    <x v="1"/>
    <n v="5"/>
    <x v="0"/>
    <s v="No"/>
    <s v="-"/>
    <s v="No"/>
    <n v="0"/>
    <n v="1"/>
    <n v="4"/>
  </r>
  <r>
    <x v="169"/>
    <s v="Guilherme Souza"/>
    <x v="0"/>
    <d v="2024-08-13T00:00:00"/>
    <x v="0"/>
    <n v="15"/>
    <x v="1"/>
    <s v="Yes"/>
    <n v="30"/>
    <s v="Yes"/>
    <n v="20"/>
    <n v="5"/>
    <n v="60"/>
  </r>
  <r>
    <x v="170"/>
    <s v="Helena Ribeiro"/>
    <x v="2"/>
    <d v="2024-08-14T00:00:00"/>
    <x v="1"/>
    <n v="10"/>
    <x v="0"/>
    <s v="No"/>
    <s v="-"/>
    <s v="Yes"/>
    <n v="20"/>
    <n v="10"/>
    <n v="20"/>
  </r>
  <r>
    <x v="171"/>
    <s v="Igor Santos"/>
    <x v="1"/>
    <d v="2024-08-15T00:00:00"/>
    <x v="0"/>
    <n v="5"/>
    <x v="2"/>
    <s v="No"/>
    <s v="-"/>
    <s v="No"/>
    <n v="0"/>
    <n v="0"/>
    <n v="5"/>
  </r>
  <r>
    <x v="172"/>
    <s v="João Carvalho"/>
    <x v="0"/>
    <d v="2024-08-16T00:00:00"/>
    <x v="1"/>
    <n v="15"/>
    <x v="0"/>
    <s v="Yes"/>
    <n v="30"/>
    <s v="Yes"/>
    <n v="20"/>
    <n v="3"/>
    <n v="62"/>
  </r>
  <r>
    <x v="173"/>
    <s v="Klara Fagundes"/>
    <x v="2"/>
    <d v="2024-08-17T00:00:00"/>
    <x v="0"/>
    <n v="10"/>
    <x v="1"/>
    <s v="No"/>
    <s v="-"/>
    <s v="Yes"/>
    <n v="20"/>
    <n v="15"/>
    <n v="15"/>
  </r>
  <r>
    <x v="174"/>
    <s v="Lúcia Mendonça"/>
    <x v="1"/>
    <d v="2024-08-18T00:00:00"/>
    <x v="1"/>
    <n v="5"/>
    <x v="0"/>
    <s v="No"/>
    <s v="-"/>
    <s v="No"/>
    <n v="0"/>
    <n v="1"/>
    <n v="4"/>
  </r>
  <r>
    <x v="175"/>
    <s v="Marcelo Novaes"/>
    <x v="1"/>
    <d v="2024-08-19T00:00:00"/>
    <x v="0"/>
    <n v="5"/>
    <x v="0"/>
    <s v="No"/>
    <s v="-"/>
    <s v="No"/>
    <n v="0"/>
    <n v="0"/>
    <n v="5"/>
  </r>
  <r>
    <x v="176"/>
    <s v="Nina Pacheco"/>
    <x v="0"/>
    <d v="2024-08-20T00:00:00"/>
    <x v="1"/>
    <n v="15"/>
    <x v="2"/>
    <s v="Yes"/>
    <n v="30"/>
    <s v="Yes"/>
    <n v="20"/>
    <n v="7"/>
    <n v="58"/>
  </r>
  <r>
    <x v="177"/>
    <s v="Olívia Rios"/>
    <x v="2"/>
    <d v="2024-08-21T00:00:00"/>
    <x v="0"/>
    <n v="10"/>
    <x v="1"/>
    <s v="No"/>
    <s v="-"/>
    <s v="Yes"/>
    <n v="20"/>
    <n v="10"/>
    <n v="20"/>
  </r>
  <r>
    <x v="178"/>
    <s v="Paulo Quintana"/>
    <x v="1"/>
    <d v="2024-08-22T00:00:00"/>
    <x v="1"/>
    <n v="5"/>
    <x v="2"/>
    <s v="No"/>
    <s v="-"/>
    <s v="No"/>
    <n v="0"/>
    <n v="1"/>
    <n v="4"/>
  </r>
  <r>
    <x v="179"/>
    <s v="Raquel Domingos"/>
    <x v="0"/>
    <d v="2024-08-23T00:00:00"/>
    <x v="0"/>
    <n v="15"/>
    <x v="0"/>
    <s v="Yes"/>
    <n v="30"/>
    <s v="Yes"/>
    <n v="20"/>
    <n v="15"/>
    <n v="50"/>
  </r>
  <r>
    <x v="180"/>
    <s v="Samuel Viana"/>
    <x v="2"/>
    <d v="2024-08-24T00:00:00"/>
    <x v="1"/>
    <n v="10"/>
    <x v="0"/>
    <s v="No"/>
    <s v="-"/>
    <s v="Yes"/>
    <n v="20"/>
    <n v="5"/>
    <n v="25"/>
  </r>
  <r>
    <x v="181"/>
    <s v="Tatiane Rocha"/>
    <x v="1"/>
    <d v="2024-08-25T00:00:00"/>
    <x v="0"/>
    <n v="5"/>
    <x v="1"/>
    <s v="No"/>
    <s v="-"/>
    <s v="No"/>
    <n v="0"/>
    <n v="0"/>
    <n v="5"/>
  </r>
  <r>
    <x v="182"/>
    <s v="Ulysses Farias"/>
    <x v="0"/>
    <d v="2024-08-26T00:00:00"/>
    <x v="1"/>
    <n v="15"/>
    <x v="2"/>
    <s v="Yes"/>
    <n v="30"/>
    <s v="Yes"/>
    <n v="20"/>
    <n v="20"/>
    <n v="45"/>
  </r>
  <r>
    <x v="183"/>
    <s v="Vanessa Moreira"/>
    <x v="2"/>
    <d v="2024-08-27T00:00:00"/>
    <x v="0"/>
    <n v="10"/>
    <x v="2"/>
    <s v="No"/>
    <s v="-"/>
    <s v="Yes"/>
    <n v="20"/>
    <n v="12"/>
    <n v="18"/>
  </r>
  <r>
    <x v="184"/>
    <s v="William Carvalho"/>
    <x v="1"/>
    <d v="2024-08-28T00:00:00"/>
    <x v="1"/>
    <n v="5"/>
    <x v="0"/>
    <s v="No"/>
    <s v="-"/>
    <s v="No"/>
    <n v="0"/>
    <n v="2"/>
    <n v="3"/>
  </r>
  <r>
    <x v="185"/>
    <s v="Ximena Barros"/>
    <x v="0"/>
    <d v="2024-08-29T00:00:00"/>
    <x v="0"/>
    <n v="15"/>
    <x v="1"/>
    <s v="Yes"/>
    <n v="30"/>
    <s v="Yes"/>
    <n v="20"/>
    <n v="5"/>
    <n v="60"/>
  </r>
  <r>
    <x v="186"/>
    <s v="Yara Machado"/>
    <x v="2"/>
    <d v="2024-08-30T00:00:00"/>
    <x v="1"/>
    <n v="10"/>
    <x v="0"/>
    <s v="No"/>
    <s v="-"/>
    <s v="Yes"/>
    <n v="20"/>
    <n v="10"/>
    <n v="20"/>
  </r>
  <r>
    <x v="187"/>
    <s v="Zacarias Costa"/>
    <x v="1"/>
    <d v="2024-08-31T00:00:00"/>
    <x v="0"/>
    <n v="5"/>
    <x v="2"/>
    <s v="No"/>
    <s v="-"/>
    <s v="No"/>
    <n v="0"/>
    <n v="0"/>
    <n v="5"/>
  </r>
  <r>
    <x v="188"/>
    <s v="André Lopes"/>
    <x v="0"/>
    <d v="2024-09-01T00:00:00"/>
    <x v="1"/>
    <n v="15"/>
    <x v="0"/>
    <s v="Yes"/>
    <n v="30"/>
    <s v="Yes"/>
    <n v="20"/>
    <n v="3"/>
    <n v="62"/>
  </r>
  <r>
    <x v="189"/>
    <s v="Beatriz Souza"/>
    <x v="2"/>
    <d v="2024-09-02T00:00:00"/>
    <x v="0"/>
    <n v="10"/>
    <x v="1"/>
    <s v="No"/>
    <s v="-"/>
    <s v="Yes"/>
    <n v="20"/>
    <n v="15"/>
    <n v="15"/>
  </r>
  <r>
    <x v="190"/>
    <s v="Caio Pereira"/>
    <x v="1"/>
    <d v="2024-09-03T00:00:00"/>
    <x v="1"/>
    <n v="5"/>
    <x v="0"/>
    <s v="No"/>
    <s v="-"/>
    <s v="No"/>
    <n v="0"/>
    <n v="1"/>
    <n v="4"/>
  </r>
  <r>
    <x v="191"/>
    <s v="Daniela Araújo"/>
    <x v="0"/>
    <d v="2024-09-04T00:00:00"/>
    <x v="0"/>
    <n v="15"/>
    <x v="2"/>
    <s v="Yes"/>
    <n v="30"/>
    <s v="Yes"/>
    <n v="20"/>
    <n v="7"/>
    <n v="58"/>
  </r>
  <r>
    <x v="192"/>
    <s v="Eduardo Santos"/>
    <x v="2"/>
    <d v="2024-09-05T00:00:00"/>
    <x v="1"/>
    <n v="10"/>
    <x v="0"/>
    <s v="No"/>
    <s v="-"/>
    <s v="Yes"/>
    <n v="20"/>
    <n v="10"/>
    <n v="20"/>
  </r>
  <r>
    <x v="193"/>
    <s v="Fernanda Lima"/>
    <x v="1"/>
    <d v="2024-09-06T00:00:00"/>
    <x v="0"/>
    <n v="5"/>
    <x v="1"/>
    <s v="No"/>
    <s v="-"/>
    <s v="No"/>
    <n v="0"/>
    <n v="0"/>
    <n v="5"/>
  </r>
  <r>
    <x v="194"/>
    <s v="Gabriel Teixeira"/>
    <x v="0"/>
    <d v="2024-09-07T00:00:00"/>
    <x v="1"/>
    <n v="15"/>
    <x v="0"/>
    <s v="Yes"/>
    <n v="30"/>
    <s v="Yes"/>
    <n v="20"/>
    <n v="20"/>
    <n v="45"/>
  </r>
  <r>
    <x v="195"/>
    <s v="Helena Ribeiro"/>
    <x v="2"/>
    <d v="2024-09-08T00:00:00"/>
    <x v="0"/>
    <n v="10"/>
    <x v="2"/>
    <s v="No"/>
    <s v="-"/>
    <s v="Yes"/>
    <n v="20"/>
    <n v="15"/>
    <n v="15"/>
  </r>
  <r>
    <x v="196"/>
    <s v="Igor Mendes"/>
    <x v="1"/>
    <d v="2024-09-09T00:00:00"/>
    <x v="1"/>
    <n v="5"/>
    <x v="0"/>
    <s v="No"/>
    <s v="-"/>
    <s v="No"/>
    <n v="0"/>
    <n v="1"/>
    <n v="4"/>
  </r>
  <r>
    <x v="197"/>
    <s v="Joana Silveira"/>
    <x v="0"/>
    <d v="2024-09-10T00:00:00"/>
    <x v="0"/>
    <n v="15"/>
    <x v="1"/>
    <s v="Yes"/>
    <n v="30"/>
    <s v="Yes"/>
    <n v="20"/>
    <n v="3"/>
    <n v="62"/>
  </r>
  <r>
    <x v="198"/>
    <s v="Lucas Martins"/>
    <x v="2"/>
    <d v="2024-09-11T00:00:00"/>
    <x v="1"/>
    <n v="10"/>
    <x v="0"/>
    <s v="No"/>
    <s v="-"/>
    <s v="Yes"/>
    <n v="20"/>
    <n v="10"/>
    <n v="20"/>
  </r>
  <r>
    <x v="199"/>
    <s v="Marcela Gouveia"/>
    <x v="1"/>
    <d v="2024-09-12T00:00:00"/>
    <x v="0"/>
    <n v="5"/>
    <x v="2"/>
    <s v="No"/>
    <s v="-"/>
    <s v="No"/>
    <n v="0"/>
    <n v="0"/>
    <n v="5"/>
  </r>
  <r>
    <x v="200"/>
    <s v="Nicolas Borges"/>
    <x v="0"/>
    <d v="2024-09-13T00:00:00"/>
    <x v="1"/>
    <n v="15"/>
    <x v="0"/>
    <s v="Yes"/>
    <n v="30"/>
    <s v="Yes"/>
    <n v="20"/>
    <n v="15"/>
    <n v="50"/>
  </r>
  <r>
    <x v="201"/>
    <s v="Olivia Freitas"/>
    <x v="2"/>
    <d v="2024-09-14T00:00:00"/>
    <x v="0"/>
    <n v="10"/>
    <x v="1"/>
    <s v="No"/>
    <s v="-"/>
    <s v="Yes"/>
    <n v="20"/>
    <n v="15"/>
    <n v="15"/>
  </r>
  <r>
    <x v="202"/>
    <s v="Paulo Nogueira"/>
    <x v="1"/>
    <d v="2024-09-15T00:00:00"/>
    <x v="1"/>
    <n v="5"/>
    <x v="0"/>
    <s v="No"/>
    <s v="-"/>
    <s v="No"/>
    <n v="0"/>
    <n v="1"/>
    <n v="4"/>
  </r>
  <r>
    <x v="203"/>
    <s v="Raquel Andrade"/>
    <x v="0"/>
    <d v="2024-09-16T00:00:00"/>
    <x v="0"/>
    <n v="15"/>
    <x v="2"/>
    <s v="Yes"/>
    <n v="30"/>
    <s v="Yes"/>
    <n v="20"/>
    <n v="7"/>
    <n v="58"/>
  </r>
  <r>
    <x v="204"/>
    <s v="Sônia Carvalho"/>
    <x v="2"/>
    <d v="2024-09-17T00:00:00"/>
    <x v="1"/>
    <n v="10"/>
    <x v="0"/>
    <s v="No"/>
    <s v="-"/>
    <s v="Yes"/>
    <n v="20"/>
    <n v="10"/>
    <n v="20"/>
  </r>
  <r>
    <x v="205"/>
    <s v="Tiago Rodrigues"/>
    <x v="1"/>
    <d v="2024-09-18T00:00:00"/>
    <x v="0"/>
    <n v="5"/>
    <x v="0"/>
    <s v="No"/>
    <s v="-"/>
    <s v="No"/>
    <n v="0"/>
    <n v="0"/>
    <n v="5"/>
  </r>
  <r>
    <x v="206"/>
    <s v="Ursula Monteiro"/>
    <x v="0"/>
    <d v="2024-09-19T00:00:00"/>
    <x v="1"/>
    <n v="15"/>
    <x v="2"/>
    <s v="Yes"/>
    <n v="30"/>
    <s v="Yes"/>
    <n v="20"/>
    <n v="7"/>
    <n v="58"/>
  </r>
  <r>
    <x v="207"/>
    <s v="Vanessa Pereira"/>
    <x v="2"/>
    <d v="2024-09-20T00:00:00"/>
    <x v="0"/>
    <n v="10"/>
    <x v="1"/>
    <s v="No"/>
    <s v="-"/>
    <s v="Yes"/>
    <n v="20"/>
    <n v="10"/>
    <n v="20"/>
  </r>
  <r>
    <x v="208"/>
    <s v="Walter Silva"/>
    <x v="1"/>
    <d v="2024-09-21T00:00:00"/>
    <x v="1"/>
    <n v="5"/>
    <x v="2"/>
    <s v="No"/>
    <s v="-"/>
    <s v="No"/>
    <n v="0"/>
    <n v="1"/>
    <n v="4"/>
  </r>
  <r>
    <x v="209"/>
    <s v="Xavier Almeida"/>
    <x v="0"/>
    <d v="2024-09-22T00:00:00"/>
    <x v="0"/>
    <n v="15"/>
    <x v="0"/>
    <s v="Yes"/>
    <n v="30"/>
    <s v="Yes"/>
    <n v="20"/>
    <n v="15"/>
    <n v="50"/>
  </r>
  <r>
    <x v="210"/>
    <s v="Yasmine Correia"/>
    <x v="2"/>
    <d v="2024-09-23T00:00:00"/>
    <x v="1"/>
    <n v="10"/>
    <x v="0"/>
    <s v="No"/>
    <s v="-"/>
    <s v="Yes"/>
    <n v="20"/>
    <n v="5"/>
    <n v="25"/>
  </r>
  <r>
    <x v="211"/>
    <s v="Zacarias Almeida"/>
    <x v="1"/>
    <d v="2024-09-24T00:00:00"/>
    <x v="0"/>
    <n v="5"/>
    <x v="1"/>
    <s v="No"/>
    <s v="-"/>
    <s v="No"/>
    <n v="0"/>
    <n v="0"/>
    <n v="5"/>
  </r>
  <r>
    <x v="212"/>
    <s v="Amanda Costa"/>
    <x v="0"/>
    <d v="2024-09-25T00:00:00"/>
    <x v="1"/>
    <n v="15"/>
    <x v="2"/>
    <s v="Yes"/>
    <n v="30"/>
    <s v="Yes"/>
    <n v="20"/>
    <n v="20"/>
    <n v="45"/>
  </r>
  <r>
    <x v="213"/>
    <s v="Bruno Ferreira"/>
    <x v="2"/>
    <d v="2024-09-26T00:00:00"/>
    <x v="0"/>
    <n v="10"/>
    <x v="2"/>
    <s v="No"/>
    <s v="-"/>
    <s v="Yes"/>
    <n v="20"/>
    <n v="12"/>
    <n v="18"/>
  </r>
  <r>
    <x v="214"/>
    <s v="Carla Dias"/>
    <x v="1"/>
    <d v="2024-09-27T00:00:00"/>
    <x v="1"/>
    <n v="5"/>
    <x v="0"/>
    <s v="No"/>
    <s v="-"/>
    <s v="No"/>
    <n v="0"/>
    <n v="2"/>
    <n v="3"/>
  </r>
  <r>
    <x v="215"/>
    <s v="Diogo Martins"/>
    <x v="0"/>
    <d v="2024-09-28T00:00:00"/>
    <x v="0"/>
    <n v="15"/>
    <x v="1"/>
    <s v="Yes"/>
    <n v="30"/>
    <s v="Yes"/>
    <n v="20"/>
    <n v="5"/>
    <n v="60"/>
  </r>
  <r>
    <x v="216"/>
    <s v="Elisa Campos"/>
    <x v="2"/>
    <d v="2024-09-29T00:00:00"/>
    <x v="1"/>
    <n v="10"/>
    <x v="0"/>
    <s v="No"/>
    <s v="-"/>
    <s v="Yes"/>
    <n v="20"/>
    <n v="10"/>
    <n v="20"/>
  </r>
  <r>
    <x v="217"/>
    <s v="Fabiana Lima"/>
    <x v="1"/>
    <d v="2024-09-30T00:00:00"/>
    <x v="0"/>
    <n v="5"/>
    <x v="2"/>
    <s v="No"/>
    <s v="-"/>
    <s v="No"/>
    <n v="0"/>
    <n v="0"/>
    <n v="5"/>
  </r>
  <r>
    <x v="218"/>
    <s v="Gabriel Santos"/>
    <x v="0"/>
    <d v="2024-10-01T00:00:00"/>
    <x v="1"/>
    <n v="15"/>
    <x v="0"/>
    <s v="Yes"/>
    <n v="30"/>
    <s v="Yes"/>
    <n v="20"/>
    <n v="3"/>
    <n v="62"/>
  </r>
  <r>
    <x v="219"/>
    <s v="Helena Ferreira"/>
    <x v="2"/>
    <d v="2024-10-02T00:00:00"/>
    <x v="0"/>
    <n v="10"/>
    <x v="1"/>
    <s v="No"/>
    <s v="-"/>
    <s v="Yes"/>
    <n v="20"/>
    <n v="15"/>
    <n v="15"/>
  </r>
  <r>
    <x v="220"/>
    <s v="Ígor Nunes"/>
    <x v="1"/>
    <d v="2024-10-03T00:00:00"/>
    <x v="1"/>
    <n v="5"/>
    <x v="0"/>
    <s v="No"/>
    <s v="-"/>
    <s v="No"/>
    <n v="0"/>
    <n v="1"/>
    <n v="4"/>
  </r>
  <r>
    <x v="221"/>
    <s v="Joana Silveira"/>
    <x v="0"/>
    <d v="2024-10-04T00:00:00"/>
    <x v="0"/>
    <n v="15"/>
    <x v="2"/>
    <s v="Yes"/>
    <n v="30"/>
    <s v="Yes"/>
    <n v="20"/>
    <n v="7"/>
    <n v="58"/>
  </r>
  <r>
    <x v="222"/>
    <s v="Kléber Oliveira"/>
    <x v="2"/>
    <d v="2024-10-05T00:00:00"/>
    <x v="1"/>
    <n v="10"/>
    <x v="0"/>
    <s v="No"/>
    <s v="-"/>
    <s v="Yes"/>
    <n v="20"/>
    <n v="10"/>
    <n v="20"/>
  </r>
  <r>
    <x v="223"/>
    <s v="Luciana Morais"/>
    <x v="1"/>
    <d v="2024-10-06T00:00:00"/>
    <x v="0"/>
    <n v="5"/>
    <x v="1"/>
    <s v="No"/>
    <s v="-"/>
    <s v="No"/>
    <n v="0"/>
    <n v="0"/>
    <n v="5"/>
  </r>
  <r>
    <x v="224"/>
    <s v="Marcos Vinícius"/>
    <x v="0"/>
    <d v="2024-10-07T00:00:00"/>
    <x v="1"/>
    <n v="15"/>
    <x v="0"/>
    <s v="Yes"/>
    <n v="30"/>
    <s v="Yes"/>
    <n v="20"/>
    <n v="20"/>
    <n v="45"/>
  </r>
  <r>
    <x v="225"/>
    <s v="Natália Barros"/>
    <x v="2"/>
    <d v="2024-10-08T00:00:00"/>
    <x v="0"/>
    <n v="10"/>
    <x v="2"/>
    <s v="No"/>
    <s v="-"/>
    <s v="Yes"/>
    <n v="20"/>
    <n v="15"/>
    <n v="15"/>
  </r>
  <r>
    <x v="226"/>
    <s v="Oscar Sampaio"/>
    <x v="1"/>
    <d v="2024-10-09T00:00:00"/>
    <x v="1"/>
    <n v="5"/>
    <x v="0"/>
    <s v="No"/>
    <s v="-"/>
    <s v="No"/>
    <n v="0"/>
    <n v="1"/>
    <n v="4"/>
  </r>
  <r>
    <x v="227"/>
    <s v="Patrícia Leite"/>
    <x v="0"/>
    <d v="2024-10-10T00:00:00"/>
    <x v="0"/>
    <n v="15"/>
    <x v="1"/>
    <s v="Yes"/>
    <n v="30"/>
    <s v="Yes"/>
    <n v="20"/>
    <n v="3"/>
    <n v="62"/>
  </r>
  <r>
    <x v="228"/>
    <s v="Quênia Rocha"/>
    <x v="2"/>
    <d v="2024-10-11T00:00:00"/>
    <x v="1"/>
    <n v="10"/>
    <x v="0"/>
    <s v="No"/>
    <s v="-"/>
    <s v="Yes"/>
    <n v="20"/>
    <n v="10"/>
    <n v="20"/>
  </r>
  <r>
    <x v="229"/>
    <s v="Rafael Torres"/>
    <x v="1"/>
    <d v="2024-10-12T00:00:00"/>
    <x v="0"/>
    <n v="5"/>
    <x v="2"/>
    <s v="No"/>
    <s v="-"/>
    <s v="No"/>
    <n v="0"/>
    <n v="0"/>
    <n v="5"/>
  </r>
  <r>
    <x v="230"/>
    <s v="Sandra Gouveia"/>
    <x v="0"/>
    <d v="2024-10-13T00:00:00"/>
    <x v="1"/>
    <n v="15"/>
    <x v="0"/>
    <s v="Yes"/>
    <n v="30"/>
    <s v="Yes"/>
    <n v="20"/>
    <n v="15"/>
    <n v="50"/>
  </r>
  <r>
    <x v="231"/>
    <s v="Tiago Lacerda"/>
    <x v="2"/>
    <d v="2024-10-14T00:00:00"/>
    <x v="0"/>
    <n v="10"/>
    <x v="1"/>
    <s v="No"/>
    <s v="-"/>
    <s v="Yes"/>
    <n v="20"/>
    <n v="15"/>
    <n v="15"/>
  </r>
  <r>
    <x v="232"/>
    <s v="Ursula Fonseca"/>
    <x v="1"/>
    <d v="2024-10-15T00:00:00"/>
    <x v="1"/>
    <n v="5"/>
    <x v="0"/>
    <s v="No"/>
    <s v="-"/>
    <s v="No"/>
    <n v="0"/>
    <n v="1"/>
    <n v="4"/>
  </r>
  <r>
    <x v="233"/>
    <s v="Vanessa Andrade"/>
    <x v="0"/>
    <d v="2024-10-16T00:00:00"/>
    <x v="0"/>
    <n v="15"/>
    <x v="2"/>
    <s v="Yes"/>
    <n v="30"/>
    <s v="Yes"/>
    <n v="20"/>
    <n v="7"/>
    <n v="58"/>
  </r>
  <r>
    <x v="234"/>
    <s v="William Castro"/>
    <x v="2"/>
    <d v="2024-10-17T00:00:00"/>
    <x v="1"/>
    <n v="10"/>
    <x v="0"/>
    <s v="No"/>
    <s v="-"/>
    <s v="Yes"/>
    <n v="20"/>
    <n v="10"/>
    <n v="20"/>
  </r>
  <r>
    <x v="235"/>
    <s v="Xavier Monteiro"/>
    <x v="1"/>
    <d v="2024-10-18T00:00:00"/>
    <x v="0"/>
    <n v="5"/>
    <x v="1"/>
    <s v="No"/>
    <s v="-"/>
    <s v="No"/>
    <n v="0"/>
    <n v="0"/>
    <n v="5"/>
  </r>
  <r>
    <x v="236"/>
    <s v="Yasmin Figueira"/>
    <x v="0"/>
    <d v="2024-10-19T00:00:00"/>
    <x v="1"/>
    <n v="15"/>
    <x v="0"/>
    <s v="Yes"/>
    <n v="30"/>
    <s v="Yes"/>
    <n v="20"/>
    <n v="15"/>
    <n v="50"/>
  </r>
  <r>
    <x v="237"/>
    <s v="Zacarias Mendonça"/>
    <x v="2"/>
    <d v="2024-10-20T00:00:00"/>
    <x v="0"/>
    <n v="10"/>
    <x v="2"/>
    <s v="No"/>
    <s v="-"/>
    <s v="Yes"/>
    <n v="20"/>
    <n v="12"/>
    <n v="18"/>
  </r>
  <r>
    <x v="238"/>
    <s v="Amanda Menezes"/>
    <x v="1"/>
    <d v="2024-10-21T00:00:00"/>
    <x v="1"/>
    <n v="5"/>
    <x v="0"/>
    <s v="No"/>
    <s v="-"/>
    <s v="No"/>
    <n v="0"/>
    <n v="2"/>
    <n v="3"/>
  </r>
  <r>
    <x v="239"/>
    <s v="Bruno Santos"/>
    <x v="0"/>
    <d v="2024-10-22T00:00:00"/>
    <x v="0"/>
    <n v="15"/>
    <x v="1"/>
    <s v="Yes"/>
    <n v="30"/>
    <s v="Yes"/>
    <n v="20"/>
    <n v="5"/>
    <n v="60"/>
  </r>
  <r>
    <x v="240"/>
    <s v="Carla Ferreira"/>
    <x v="2"/>
    <d v="2024-10-23T00:00:00"/>
    <x v="1"/>
    <n v="10"/>
    <x v="0"/>
    <s v="No"/>
    <s v="-"/>
    <s v="Yes"/>
    <n v="20"/>
    <n v="10"/>
    <n v="20"/>
  </r>
  <r>
    <x v="241"/>
    <s v="Diogo Alves"/>
    <x v="1"/>
    <d v="2024-10-24T00:00:00"/>
    <x v="0"/>
    <n v="5"/>
    <x v="2"/>
    <s v="No"/>
    <s v="-"/>
    <s v="No"/>
    <n v="0"/>
    <n v="0"/>
    <n v="5"/>
  </r>
  <r>
    <x v="242"/>
    <s v="Elisa Neves"/>
    <x v="0"/>
    <d v="2024-10-25T00:00:00"/>
    <x v="1"/>
    <n v="15"/>
    <x v="0"/>
    <s v="Yes"/>
    <n v="30"/>
    <s v="Yes"/>
    <n v="20"/>
    <n v="3"/>
    <n v="62"/>
  </r>
  <r>
    <x v="243"/>
    <s v="Fabiano Pires"/>
    <x v="2"/>
    <d v="2024-10-26T00:00:00"/>
    <x v="0"/>
    <n v="10"/>
    <x v="1"/>
    <s v="No"/>
    <s v="-"/>
    <s v="Yes"/>
    <n v="20"/>
    <n v="15"/>
    <n v="15"/>
  </r>
  <r>
    <x v="244"/>
    <s v="Giovana Ribeiro"/>
    <x v="1"/>
    <d v="2024-10-27T00:00:00"/>
    <x v="1"/>
    <n v="5"/>
    <x v="0"/>
    <s v="No"/>
    <s v="-"/>
    <s v="No"/>
    <n v="0"/>
    <n v="1"/>
    <n v="4"/>
  </r>
  <r>
    <x v="245"/>
    <s v="Hélio Costa"/>
    <x v="0"/>
    <d v="2024-10-28T00:00:00"/>
    <x v="0"/>
    <n v="15"/>
    <x v="2"/>
    <s v="Yes"/>
    <n v="30"/>
    <s v="Yes"/>
    <n v="20"/>
    <n v="7"/>
    <n v="58"/>
  </r>
  <r>
    <x v="246"/>
    <s v="Íris Loureiro"/>
    <x v="2"/>
    <d v="2024-10-29T00:00:00"/>
    <x v="1"/>
    <n v="10"/>
    <x v="0"/>
    <s v="No"/>
    <s v="-"/>
    <s v="Yes"/>
    <n v="20"/>
    <n v="10"/>
    <n v="20"/>
  </r>
  <r>
    <x v="247"/>
    <s v="João Pereira"/>
    <x v="1"/>
    <d v="2024-10-30T00:00:00"/>
    <x v="0"/>
    <n v="5"/>
    <x v="1"/>
    <s v="No"/>
    <s v="-"/>
    <s v="No"/>
    <n v="0"/>
    <n v="0"/>
    <n v="5"/>
  </r>
  <r>
    <x v="248"/>
    <s v="Klara Silva"/>
    <x v="0"/>
    <d v="2024-10-31T00:00:00"/>
    <x v="1"/>
    <n v="15"/>
    <x v="0"/>
    <s v="Yes"/>
    <n v="30"/>
    <s v="Yes"/>
    <n v="20"/>
    <n v="20"/>
    <n v="45"/>
  </r>
  <r>
    <x v="249"/>
    <s v="Luciana Barros"/>
    <x v="2"/>
    <d v="2024-11-01T00:00:00"/>
    <x v="0"/>
    <n v="10"/>
    <x v="2"/>
    <s v="No"/>
    <s v="-"/>
    <s v="Yes"/>
    <n v="20"/>
    <n v="15"/>
    <n v="15"/>
  </r>
  <r>
    <x v="250"/>
    <s v="Marcos Gomes"/>
    <x v="1"/>
    <d v="2024-11-02T00:00:00"/>
    <x v="1"/>
    <n v="5"/>
    <x v="0"/>
    <s v="No"/>
    <s v="-"/>
    <s v="No"/>
    <n v="0"/>
    <n v="1"/>
    <n v="4"/>
  </r>
  <r>
    <x v="251"/>
    <s v="Natália Soares"/>
    <x v="0"/>
    <d v="2024-11-03T00:00:00"/>
    <x v="0"/>
    <n v="15"/>
    <x v="1"/>
    <s v="Yes"/>
    <n v="30"/>
    <s v="Yes"/>
    <n v="20"/>
    <n v="3"/>
    <n v="62"/>
  </r>
  <r>
    <x v="252"/>
    <s v="Oscar Machado"/>
    <x v="2"/>
    <d v="2024-11-04T00:00:00"/>
    <x v="1"/>
    <n v="10"/>
    <x v="0"/>
    <s v="No"/>
    <s v="-"/>
    <s v="Yes"/>
    <n v="20"/>
    <n v="10"/>
    <n v="20"/>
  </r>
  <r>
    <x v="253"/>
    <s v="Patrícia Lima"/>
    <x v="1"/>
    <d v="2024-11-05T00:00:00"/>
    <x v="0"/>
    <n v="5"/>
    <x v="2"/>
    <s v="No"/>
    <s v="-"/>
    <s v="No"/>
    <n v="0"/>
    <n v="0"/>
    <n v="5"/>
  </r>
  <r>
    <x v="254"/>
    <s v="Quirino Neto"/>
    <x v="0"/>
    <d v="2024-11-06T00:00:00"/>
    <x v="1"/>
    <n v="15"/>
    <x v="0"/>
    <s v="Yes"/>
    <n v="30"/>
    <s v="Yes"/>
    <n v="20"/>
    <n v="15"/>
    <n v="50"/>
  </r>
  <r>
    <x v="255"/>
    <s v="Rafaela Souza"/>
    <x v="1"/>
    <d v="2024-11-07T00:00:00"/>
    <x v="0"/>
    <n v="5"/>
    <x v="0"/>
    <s v="No"/>
    <s v="-"/>
    <s v="No"/>
    <n v="0"/>
    <n v="0"/>
    <n v="5"/>
  </r>
  <r>
    <x v="256"/>
    <s v="Sandro Almeida"/>
    <x v="0"/>
    <d v="2024-11-08T00:00:00"/>
    <x v="1"/>
    <n v="15"/>
    <x v="2"/>
    <s v="Yes"/>
    <n v="30"/>
    <s v="Yes"/>
    <n v="20"/>
    <n v="7"/>
    <n v="58"/>
  </r>
  <r>
    <x v="257"/>
    <s v="Tânia Ribeiro"/>
    <x v="2"/>
    <d v="2024-11-09T00:00:00"/>
    <x v="0"/>
    <n v="10"/>
    <x v="1"/>
    <s v="No"/>
    <s v="-"/>
    <s v="Yes"/>
    <n v="20"/>
    <n v="10"/>
    <n v="20"/>
  </r>
  <r>
    <x v="258"/>
    <s v="Ugo Dias"/>
    <x v="1"/>
    <d v="2024-11-10T00:00:00"/>
    <x v="1"/>
    <n v="5"/>
    <x v="2"/>
    <s v="No"/>
    <s v="-"/>
    <s v="No"/>
    <n v="0"/>
    <n v="1"/>
    <n v="4"/>
  </r>
  <r>
    <x v="259"/>
    <s v="Valéria Lima"/>
    <x v="0"/>
    <d v="2024-11-11T00:00:00"/>
    <x v="0"/>
    <n v="15"/>
    <x v="0"/>
    <s v="Yes"/>
    <n v="30"/>
    <s v="Yes"/>
    <n v="20"/>
    <n v="15"/>
    <n v="50"/>
  </r>
  <r>
    <x v="260"/>
    <s v="William Fernandes"/>
    <x v="2"/>
    <d v="2024-11-12T00:00:00"/>
    <x v="1"/>
    <n v="10"/>
    <x v="0"/>
    <s v="No"/>
    <s v="-"/>
    <s v="Yes"/>
    <n v="20"/>
    <n v="5"/>
    <n v="25"/>
  </r>
  <r>
    <x v="261"/>
    <s v="Xuxa Mendes"/>
    <x v="1"/>
    <d v="2024-11-13T00:00:00"/>
    <x v="0"/>
    <n v="5"/>
    <x v="1"/>
    <s v="No"/>
    <s v="-"/>
    <s v="No"/>
    <n v="0"/>
    <n v="0"/>
    <n v="5"/>
  </r>
  <r>
    <x v="262"/>
    <s v="Ygor Farias"/>
    <x v="0"/>
    <d v="2024-11-14T00:00:00"/>
    <x v="1"/>
    <n v="15"/>
    <x v="2"/>
    <s v="Yes"/>
    <n v="30"/>
    <s v="Yes"/>
    <n v="20"/>
    <n v="20"/>
    <n v="45"/>
  </r>
  <r>
    <x v="263"/>
    <s v="Zilda Barros"/>
    <x v="2"/>
    <d v="2024-11-15T00:00:00"/>
    <x v="0"/>
    <n v="10"/>
    <x v="2"/>
    <s v="No"/>
    <s v="-"/>
    <s v="Yes"/>
    <n v="20"/>
    <n v="12"/>
    <n v="18"/>
  </r>
  <r>
    <x v="264"/>
    <s v="Amanda Santos"/>
    <x v="1"/>
    <d v="2024-11-16T00:00:00"/>
    <x v="1"/>
    <n v="5"/>
    <x v="0"/>
    <s v="No"/>
    <s v="-"/>
    <s v="No"/>
    <n v="0"/>
    <n v="2"/>
    <n v="3"/>
  </r>
  <r>
    <x v="265"/>
    <s v="Bruno Costa"/>
    <x v="0"/>
    <d v="2024-11-17T00:00:00"/>
    <x v="0"/>
    <n v="15"/>
    <x v="1"/>
    <s v="Yes"/>
    <n v="30"/>
    <s v="Yes"/>
    <n v="20"/>
    <n v="5"/>
    <n v="60"/>
  </r>
  <r>
    <x v="266"/>
    <s v="Carla Rodrigues"/>
    <x v="2"/>
    <d v="2024-11-18T00:00:00"/>
    <x v="1"/>
    <n v="10"/>
    <x v="0"/>
    <s v="No"/>
    <s v="-"/>
    <s v="Yes"/>
    <n v="20"/>
    <n v="10"/>
    <n v="20"/>
  </r>
  <r>
    <x v="267"/>
    <s v="Diogo Pereira"/>
    <x v="1"/>
    <d v="2024-11-19T00:00:00"/>
    <x v="0"/>
    <n v="5"/>
    <x v="2"/>
    <s v="No"/>
    <s v="-"/>
    <s v="No"/>
    <n v="0"/>
    <n v="0"/>
    <n v="5"/>
  </r>
  <r>
    <x v="268"/>
    <s v="Elisa Correia"/>
    <x v="0"/>
    <d v="2024-11-20T00:00:00"/>
    <x v="1"/>
    <n v="15"/>
    <x v="0"/>
    <s v="Yes"/>
    <n v="30"/>
    <s v="Yes"/>
    <n v="20"/>
    <n v="3"/>
    <n v="62"/>
  </r>
  <r>
    <x v="269"/>
    <s v="Fábio Lourenço"/>
    <x v="2"/>
    <d v="2024-11-21T00:00:00"/>
    <x v="0"/>
    <n v="10"/>
    <x v="1"/>
    <s v="No"/>
    <s v="-"/>
    <s v="Yes"/>
    <n v="20"/>
    <n v="15"/>
    <n v="15"/>
  </r>
  <r>
    <x v="270"/>
    <s v="Gabriela Neves"/>
    <x v="1"/>
    <d v="2024-11-22T00:00:00"/>
    <x v="1"/>
    <n v="5"/>
    <x v="0"/>
    <s v="No"/>
    <s v="-"/>
    <s v="No"/>
    <n v="0"/>
    <n v="1"/>
    <n v="4"/>
  </r>
  <r>
    <x v="271"/>
    <s v="Henrique Gonçalves"/>
    <x v="0"/>
    <d v="2024-11-23T00:00:00"/>
    <x v="0"/>
    <n v="15"/>
    <x v="2"/>
    <s v="Yes"/>
    <n v="30"/>
    <s v="Yes"/>
    <n v="20"/>
    <n v="7"/>
    <n v="58"/>
  </r>
  <r>
    <x v="272"/>
    <s v="Íris Santos"/>
    <x v="2"/>
    <d v="2024-11-24T00:00:00"/>
    <x v="1"/>
    <n v="10"/>
    <x v="0"/>
    <s v="No"/>
    <s v="-"/>
    <s v="Yes"/>
    <n v="20"/>
    <n v="10"/>
    <n v="20"/>
  </r>
  <r>
    <x v="273"/>
    <s v="João Marcelo Alves"/>
    <x v="1"/>
    <d v="2024-11-25T00:00:00"/>
    <x v="0"/>
    <n v="5"/>
    <x v="1"/>
    <s v="No"/>
    <s v="-"/>
    <s v="No"/>
    <n v="0"/>
    <n v="0"/>
    <n v="5"/>
  </r>
  <r>
    <x v="274"/>
    <s v="Klara Fonseca"/>
    <x v="0"/>
    <d v="2024-11-26T00:00:00"/>
    <x v="1"/>
    <n v="15"/>
    <x v="0"/>
    <s v="Yes"/>
    <n v="30"/>
    <s v="Yes"/>
    <n v="20"/>
    <n v="20"/>
    <n v="45"/>
  </r>
  <r>
    <x v="275"/>
    <s v="Lucas Mendonça"/>
    <x v="2"/>
    <d v="2024-11-27T00:00:00"/>
    <x v="0"/>
    <n v="10"/>
    <x v="2"/>
    <s v="No"/>
    <s v="-"/>
    <s v="Yes"/>
    <n v="20"/>
    <n v="15"/>
    <n v="15"/>
  </r>
  <r>
    <x v="276"/>
    <s v="Marcela Torres"/>
    <x v="1"/>
    <d v="2024-11-28T00:00:00"/>
    <x v="1"/>
    <n v="5"/>
    <x v="0"/>
    <s v="No"/>
    <s v="-"/>
    <s v="No"/>
    <n v="0"/>
    <n v="1"/>
    <n v="4"/>
  </r>
  <r>
    <x v="277"/>
    <s v="Natália Castro"/>
    <x v="0"/>
    <d v="2024-11-29T00:00:00"/>
    <x v="0"/>
    <n v="15"/>
    <x v="1"/>
    <s v="Yes"/>
    <n v="30"/>
    <s v="Yes"/>
    <n v="20"/>
    <n v="3"/>
    <n v="62"/>
  </r>
  <r>
    <x v="278"/>
    <s v="Oscar Martins"/>
    <x v="2"/>
    <d v="2024-11-30T00:00:00"/>
    <x v="1"/>
    <n v="10"/>
    <x v="0"/>
    <s v="No"/>
    <s v="-"/>
    <s v="Yes"/>
    <n v="20"/>
    <n v="10"/>
    <n v="20"/>
  </r>
  <r>
    <x v="279"/>
    <s v="Patrícia Oliveira"/>
    <x v="1"/>
    <d v="2024-12-01T00:00:00"/>
    <x v="0"/>
    <n v="5"/>
    <x v="2"/>
    <s v="No"/>
    <s v="-"/>
    <s v="No"/>
    <n v="0"/>
    <n v="0"/>
    <n v="5"/>
  </r>
  <r>
    <x v="280"/>
    <s v="Quentin Nogueira"/>
    <x v="0"/>
    <d v="2024-12-02T00:00:00"/>
    <x v="1"/>
    <n v="15"/>
    <x v="0"/>
    <s v="Yes"/>
    <n v="30"/>
    <s v="Yes"/>
    <n v="20"/>
    <n v="15"/>
    <n v="50"/>
  </r>
  <r>
    <x v="281"/>
    <s v="Raquel Silva"/>
    <x v="2"/>
    <d v="2024-12-03T00:00:00"/>
    <x v="0"/>
    <n v="10"/>
    <x v="1"/>
    <s v="No"/>
    <s v="-"/>
    <s v="Yes"/>
    <n v="20"/>
    <n v="15"/>
    <n v="15"/>
  </r>
  <r>
    <x v="282"/>
    <s v="Sandro Gomes"/>
    <x v="1"/>
    <d v="2024-12-04T00:00:00"/>
    <x v="1"/>
    <n v="5"/>
    <x v="0"/>
    <s v="No"/>
    <s v="-"/>
    <s v="No"/>
    <n v="0"/>
    <n v="1"/>
    <n v="4"/>
  </r>
  <r>
    <x v="283"/>
    <s v="Tânia Machado"/>
    <x v="0"/>
    <d v="2024-12-05T00:00:00"/>
    <x v="0"/>
    <n v="15"/>
    <x v="2"/>
    <s v="Yes"/>
    <n v="30"/>
    <s v="Yes"/>
    <n v="20"/>
    <n v="7"/>
    <n v="58"/>
  </r>
  <r>
    <x v="284"/>
    <s v="Ursula Silva"/>
    <x v="2"/>
    <d v="2024-12-06T00:00:00"/>
    <x v="1"/>
    <n v="10"/>
    <x v="0"/>
    <s v="No"/>
    <s v="-"/>
    <s v="Yes"/>
    <n v="20"/>
    <n v="10"/>
    <n v="20"/>
  </r>
  <r>
    <x v="285"/>
    <s v="Vanessa Moraes"/>
    <x v="1"/>
    <d v="2024-12-07T00:00:00"/>
    <x v="0"/>
    <n v="5"/>
    <x v="1"/>
    <s v="No"/>
    <s v="-"/>
    <s v="No"/>
    <n v="0"/>
    <n v="0"/>
    <n v="5"/>
  </r>
  <r>
    <x v="286"/>
    <s v="William Carvalho"/>
    <x v="0"/>
    <d v="2024-12-08T00:00:00"/>
    <x v="1"/>
    <n v="15"/>
    <x v="0"/>
    <s v="Yes"/>
    <n v="30"/>
    <s v="Yes"/>
    <n v="20"/>
    <n v="20"/>
    <n v="45"/>
  </r>
  <r>
    <x v="287"/>
    <s v="Xavier Reis"/>
    <x v="2"/>
    <d v="2024-12-09T00:00:00"/>
    <x v="0"/>
    <n v="10"/>
    <x v="2"/>
    <s v="No"/>
    <s v="-"/>
    <s v="Yes"/>
    <n v="20"/>
    <n v="12"/>
    <n v="18"/>
  </r>
  <r>
    <x v="288"/>
    <s v="Yasmin Rocha"/>
    <x v="1"/>
    <d v="2024-12-10T00:00:00"/>
    <x v="1"/>
    <n v="5"/>
    <x v="0"/>
    <s v="No"/>
    <s v="-"/>
    <s v="No"/>
    <n v="0"/>
    <n v="2"/>
    <n v="3"/>
  </r>
  <r>
    <x v="289"/>
    <s v="Zacarias Duarte"/>
    <x v="0"/>
    <d v="2024-12-11T00:00:00"/>
    <x v="0"/>
    <n v="15"/>
    <x v="1"/>
    <s v="Yes"/>
    <n v="30"/>
    <s v="Yes"/>
    <n v="20"/>
    <n v="5"/>
    <n v="60"/>
  </r>
  <r>
    <x v="290"/>
    <s v="Amanda Freitas"/>
    <x v="2"/>
    <d v="2024-12-12T00:00:00"/>
    <x v="1"/>
    <n v="10"/>
    <x v="0"/>
    <s v="No"/>
    <s v="-"/>
    <s v="Yes"/>
    <n v="20"/>
    <n v="10"/>
    <n v="20"/>
  </r>
  <r>
    <x v="291"/>
    <s v="Bruno Almeida"/>
    <x v="1"/>
    <d v="2024-12-13T00:00:00"/>
    <x v="0"/>
    <n v="5"/>
    <x v="2"/>
    <s v="No"/>
    <s v="-"/>
    <s v="No"/>
    <n v="0"/>
    <n v="0"/>
    <n v="5"/>
  </r>
  <r>
    <x v="292"/>
    <s v="Carla Siqueira"/>
    <x v="0"/>
    <d v="2024-12-14T00:00:00"/>
    <x v="1"/>
    <n v="15"/>
    <x v="0"/>
    <s v="Yes"/>
    <n v="30"/>
    <s v="Yes"/>
    <n v="20"/>
    <n v="3"/>
    <n v="62"/>
  </r>
  <r>
    <x v="293"/>
    <s v="Diogo Ramos"/>
    <x v="2"/>
    <d v="2024-12-15T00:00:00"/>
    <x v="0"/>
    <n v="10"/>
    <x v="1"/>
    <s v="No"/>
    <s v="-"/>
    <s v="Yes"/>
    <n v="20"/>
    <n v="15"/>
    <n v="15"/>
  </r>
  <r>
    <x v="294"/>
    <s v="Elisa Magalhães"/>
    <x v="1"/>
    <d v="2024-12-16T00:00:00"/>
    <x v="1"/>
    <n v="5"/>
    <x v="0"/>
    <s v="No"/>
    <s v="-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_Total_Vendas" cacheId="7" applyNumberFormats="0" applyBorderFormats="0" applyFontFormats="0" applyPatternFormats="0" applyAlignmentFormats="0" applyWidthHeightFormats="1" dataCaption="Valores" updatedVersion="4" minRefreshableVersion="3" useAutoFormatting="1" itemPrintTitles="1" createdVersion="4" indent="0" outline="1" outlineData="1" multipleFieldFilters="0" chartFormat="7">
  <location ref="A10:B14" firstHeaderRow="1" firstDataRow="1" firstDataCol="1" rowPageCount="1" colPageCount="1"/>
  <pivotFields count="13">
    <pivotField showAll="0"/>
    <pivotField showAll="0"/>
    <pivotField axis="axisRow" showAll="0">
      <items count="4">
        <item x="1"/>
        <item x="2"/>
        <item x="0"/>
        <item t="default"/>
      </items>
    </pivotField>
    <pivotField numFmtId="14" showAll="0"/>
    <pivotField showAll="0"/>
    <pivotField numFmtId="44" showAll="0"/>
    <pivotField axis="axisPage" multipleItemSelectionAllowed="1" showAll="0">
      <items count="4">
        <item h="1" x="1"/>
        <item h="1" x="0"/>
        <item x="2"/>
        <item t="default"/>
      </items>
    </pivotField>
    <pivotField multipleItemSelectionAllowed="1" showAll="0"/>
    <pivotField showAll="0"/>
    <pivotField showAll="0"/>
    <pivotField numFmtId="44" showAll="0"/>
    <pivotField numFmtId="44" showAll="0"/>
    <pivotField dataField="1"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Total Value" fld="12" baseField="0" baseItem="0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5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6" format="6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6" format="7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Tabela dinâmica3" cacheId="7" applyNumberFormats="0" applyBorderFormats="0" applyFontFormats="0" applyPatternFormats="0" applyAlignmentFormats="0" applyWidthHeightFormats="1" dataCaption="Valores" updatedVersion="4" minRefreshableVersion="3" useAutoFormatting="1" itemPrintTitles="1" createdVersion="4" indent="0" outline="1" outlineData="1" chartFormat="11">
  <location ref="A28:B32" firstHeaderRow="1" firstDataRow="1" firstDataCol="1" rowPageCount="1" colPageCount="1"/>
  <pivotFields count="13">
    <pivotField showAll="0"/>
    <pivotField showAll="0"/>
    <pivotField axis="axisRow" multipleItemSelectionAllowed="1" showAll="0">
      <items count="4">
        <item x="1"/>
        <item x="2"/>
        <item x="0"/>
        <item t="default"/>
      </items>
    </pivotField>
    <pivotField numFmtId="14" showAll="0"/>
    <pivotField showAll="0"/>
    <pivotField numFmtId="44" showAll="0"/>
    <pivotField axis="axisPage" showAll="0">
      <items count="4">
        <item x="1"/>
        <item x="0"/>
        <item x="2"/>
        <item t="default"/>
      </items>
    </pivotField>
    <pivotField multipleItemSelectionAllowed="1" showAll="0"/>
    <pivotField showAll="0"/>
    <pivotField showAll="0"/>
    <pivotField numFmtId="44" showAll="0"/>
    <pivotField dataField="1"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2" hier="-1"/>
  </pageFields>
  <dataFields count="1">
    <dataField name="Soma de Coupon Value" fld="11" baseField="0" baseItem="0"/>
  </dataFields>
  <chartFormats count="2">
    <chartFormat chart="9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Tabela dinâmica2" cacheId="7" applyNumberFormats="0" applyBorderFormats="0" applyFontFormats="0" applyPatternFormats="0" applyAlignmentFormats="0" applyWidthHeightFormats="1" dataCaption="Valores" updatedVersion="4" minRefreshableVersion="3" useAutoFormatting="1" itemPrintTitles="1" createdVersion="4" indent="0" outline="1" outlineData="1" multipleFieldFilters="0" chartFormat="9">
  <location ref="A19:B23" firstHeaderRow="1" firstDataRow="1" firstDataCol="1" rowPageCount="1" colPageCount="1"/>
  <pivotFields count="13">
    <pivotField showAll="0">
      <items count="29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t="default"/>
      </items>
    </pivotField>
    <pivotField showAll="0"/>
    <pivotField axis="axisRow" showAll="0">
      <items count="4">
        <item x="1"/>
        <item x="2"/>
        <item x="0"/>
        <item t="default"/>
      </items>
    </pivotField>
    <pivotField numFmtId="14" showAll="0"/>
    <pivotField axis="axisPage" showAll="0">
      <items count="3">
        <item x="1"/>
        <item x="0"/>
        <item t="default"/>
      </items>
    </pivotField>
    <pivotField numFmtId="44" showAll="0"/>
    <pivotField showAll="0">
      <items count="4">
        <item x="1"/>
        <item x="0"/>
        <item x="2"/>
        <item t="default"/>
      </items>
    </pivotField>
    <pivotField multipleItemSelectionAllowed="1" showAll="0"/>
    <pivotField showAll="0"/>
    <pivotField showAll="0"/>
    <pivotField numFmtId="44" showAll="0"/>
    <pivotField numFmtId="44" showAll="0"/>
    <pivotField dataField="1"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4" hier="-1"/>
  </pageFields>
  <dataFields count="1">
    <dataField name="Soma de Total Value" fld="12" baseField="0" baseItem="0"/>
  </dataFields>
  <chartFormats count="2">
    <chartFormat chart="2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açãodeDados_Subscription_Type" sourceName="Subscription Type">
  <pivotTables>
    <pivotTable tabId="3" name="tab_Total_Vendas"/>
    <pivotTable tabId="3" name="Tabela dinâmica3"/>
  </pivotTables>
  <data>
    <tabular pivotCacheId="1">
      <items count="3">
        <i x="1"/>
        <i x="0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Subscription Type" cache="SegmentaçãodeDados_Subscription_Type" caption="Subscription Type" style="SlicerStyleOther2 2" rowHeight="241300"/>
</slicers>
</file>

<file path=xl/tables/table1.xml><?xml version="1.0" encoding="utf-8"?>
<table xmlns="http://schemas.openxmlformats.org/spreadsheetml/2006/main" id="1" name="Tabela1" displayName="Tabela1" ref="A1:M296" totalsRowShown="0" dataDxfId="13">
  <autoFilter ref="A1:M296"/>
  <tableColumns count="13">
    <tableColumn id="1" name="Subscriber ID" dataDxfId="12"/>
    <tableColumn id="2" name="Name" dataDxfId="11"/>
    <tableColumn id="3" name="Plan" dataDxfId="10"/>
    <tableColumn id="4" name="Start Date" dataDxfId="9"/>
    <tableColumn id="5" name="Auto Renewal" dataDxfId="8"/>
    <tableColumn id="6" name="Subscription Price" dataDxfId="7" dataCellStyle="Moeda"/>
    <tableColumn id="7" name="Subscription Type" dataDxfId="6"/>
    <tableColumn id="8" name="EA Play Season Pass" dataDxfId="5"/>
    <tableColumn id="13" name="EA Play Season Pass_x000a_Price" dataDxfId="4" dataCellStyle="Moeda"/>
    <tableColumn id="9" name="Minecraft Season Pass" dataDxfId="3"/>
    <tableColumn id="10" name="Minecraft Season Pass Price" dataDxfId="2" dataCellStyle="Moeda"/>
    <tableColumn id="11" name="Coupon Value" dataDxfId="1" dataCellStyle="Moeda"/>
    <tableColumn id="12" name="Total Value" dataDxfId="0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xmlns="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749992370372631"/>
  </sheetPr>
  <dimension ref="B3:P21"/>
  <sheetViews>
    <sheetView showGridLines="0" zoomScaleNormal="100" workbookViewId="0">
      <selection activeCell="D42" sqref="D42"/>
    </sheetView>
  </sheetViews>
  <sheetFormatPr defaultRowHeight="14.25"/>
  <cols>
    <col min="9" max="9" width="3.625" customWidth="1"/>
  </cols>
  <sheetData>
    <row r="3" spans="2:16" ht="20.25" thickBot="1">
      <c r="B3" s="1" t="s">
        <v>0</v>
      </c>
      <c r="C3" s="1"/>
      <c r="D3" s="1"/>
      <c r="E3" s="1"/>
      <c r="F3" s="1"/>
      <c r="G3" s="1"/>
      <c r="H3" s="1"/>
    </row>
    <row r="4" spans="2:16" ht="15" thickTop="1"/>
    <row r="5" spans="2:16">
      <c r="B5" s="3" t="s">
        <v>2</v>
      </c>
      <c r="C5" t="s">
        <v>8</v>
      </c>
      <c r="E5" s="7" t="s">
        <v>6</v>
      </c>
      <c r="F5" t="s">
        <v>7</v>
      </c>
      <c r="H5" s="18" t="s">
        <v>323</v>
      </c>
      <c r="I5" t="s">
        <v>8</v>
      </c>
    </row>
    <row r="6" spans="2:16">
      <c r="B6" s="4" t="s">
        <v>3</v>
      </c>
      <c r="C6" t="s">
        <v>8</v>
      </c>
      <c r="H6" s="17" t="s">
        <v>322</v>
      </c>
      <c r="I6" t="s">
        <v>8</v>
      </c>
    </row>
    <row r="7" spans="2:16">
      <c r="B7" s="5" t="s">
        <v>4</v>
      </c>
      <c r="C7" t="s">
        <v>9</v>
      </c>
      <c r="H7" s="16" t="s">
        <v>321</v>
      </c>
      <c r="I7" t="s">
        <v>9</v>
      </c>
    </row>
    <row r="8" spans="2:16">
      <c r="B8" s="6" t="s">
        <v>5</v>
      </c>
      <c r="C8" t="s">
        <v>9</v>
      </c>
      <c r="H8" s="15" t="s">
        <v>320</v>
      </c>
      <c r="I8" t="s">
        <v>9</v>
      </c>
    </row>
    <row r="12" spans="2:16" ht="20.25" thickBot="1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" thickTop="1">
      <c r="B13" s="2"/>
      <c r="C13" s="2"/>
      <c r="D13" s="2"/>
      <c r="E13" s="2"/>
      <c r="F13" s="2"/>
      <c r="G13" s="2"/>
      <c r="H13" s="2"/>
    </row>
    <row r="14" spans="2:16">
      <c r="B14" s="2"/>
      <c r="C14" s="2"/>
      <c r="D14" s="2"/>
      <c r="E14" s="2"/>
      <c r="F14" s="2"/>
      <c r="G14" s="2"/>
      <c r="H14" s="2"/>
    </row>
    <row r="15" spans="2:16">
      <c r="B15" s="2"/>
      <c r="C15" s="2"/>
      <c r="D15" s="2"/>
      <c r="E15" s="2"/>
      <c r="F15" s="2"/>
      <c r="G15" s="2"/>
      <c r="H15" s="2"/>
    </row>
    <row r="16" spans="2:16">
      <c r="B16" s="2"/>
      <c r="C16" s="2"/>
      <c r="D16" s="2"/>
      <c r="E16" s="2"/>
      <c r="F16" s="2"/>
      <c r="G16" s="2"/>
      <c r="H16" s="2"/>
    </row>
    <row r="17" spans="2:8">
      <c r="B17" s="2"/>
      <c r="C17" s="2"/>
      <c r="D17" s="2"/>
      <c r="E17" s="2"/>
      <c r="F17" s="2"/>
      <c r="G17" s="2"/>
      <c r="H17" s="2"/>
    </row>
    <row r="18" spans="2:8">
      <c r="B18" s="2"/>
      <c r="C18" s="2"/>
      <c r="D18" s="2"/>
      <c r="E18" s="2"/>
      <c r="F18" s="2"/>
      <c r="G18" s="2"/>
      <c r="H18" s="2"/>
    </row>
    <row r="19" spans="2:8">
      <c r="B19" s="2"/>
      <c r="C19" s="2"/>
      <c r="D19" s="2"/>
      <c r="E19" s="2"/>
      <c r="F19" s="2"/>
      <c r="G19" s="2"/>
      <c r="H19" s="2"/>
    </row>
    <row r="20" spans="2:8">
      <c r="B20" s="2"/>
      <c r="C20" s="2"/>
      <c r="D20" s="2"/>
      <c r="E20" s="2"/>
      <c r="F20" s="2"/>
      <c r="G20" s="2"/>
      <c r="H20" s="2"/>
    </row>
    <row r="21" spans="2:8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749992370372631"/>
  </sheetPr>
  <dimension ref="A1:M296"/>
  <sheetViews>
    <sheetView zoomScale="90" zoomScaleNormal="90" workbookViewId="0">
      <selection activeCell="M1" sqref="M1:M1048576"/>
    </sheetView>
  </sheetViews>
  <sheetFormatPr defaultRowHeight="14.25"/>
  <cols>
    <col min="1" max="1" width="17.875" bestFit="1" customWidth="1"/>
    <col min="2" max="2" width="18.875" bestFit="1" customWidth="1"/>
    <col min="3" max="3" width="9.375" bestFit="1" customWidth="1"/>
    <col min="4" max="4" width="14.625" bestFit="1" customWidth="1"/>
    <col min="5" max="5" width="18" bestFit="1" customWidth="1"/>
    <col min="6" max="6" width="14.75" bestFit="1" customWidth="1"/>
    <col min="7" max="7" width="22" bestFit="1" customWidth="1"/>
    <col min="8" max="8" width="20.625" bestFit="1" customWidth="1"/>
    <col min="9" max="9" width="20.625" customWidth="1"/>
    <col min="10" max="10" width="16.75" bestFit="1" customWidth="1"/>
    <col min="11" max="11" width="21.25" bestFit="1" customWidth="1"/>
    <col min="12" max="12" width="12.75" bestFit="1" customWidth="1"/>
    <col min="13" max="13" width="10.625" bestFit="1" customWidth="1"/>
  </cols>
  <sheetData>
    <row r="1" spans="1:13" ht="30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customHeight="1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</row>
    <row r="4" spans="1:13" ht="16.5" customHeight="1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customHeight="1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1">
        <v>0</v>
      </c>
      <c r="L6" s="11">
        <v>1</v>
      </c>
      <c r="M6" s="11">
        <v>4</v>
      </c>
    </row>
    <row r="7" spans="1:13" ht="16.5" customHeight="1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customHeight="1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customHeight="1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customHeight="1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customHeight="1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customHeight="1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customHeight="1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customHeight="1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customHeight="1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customHeight="1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customHeight="1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customHeight="1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customHeight="1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customHeight="1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customHeight="1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customHeight="1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customHeight="1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customHeight="1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customHeight="1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customHeight="1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customHeight="1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customHeight="1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customHeight="1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customHeight="1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customHeight="1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customHeight="1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customHeight="1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customHeight="1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customHeight="1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customHeight="1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customHeight="1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customHeight="1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customHeight="1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customHeight="1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customHeight="1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customHeight="1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customHeight="1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customHeight="1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customHeight="1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customHeight="1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customHeight="1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customHeight="1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customHeight="1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customHeight="1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customHeight="1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customHeight="1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customHeight="1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customHeight="1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customHeight="1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customHeight="1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customHeight="1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customHeight="1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customHeight="1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customHeight="1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customHeight="1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customHeight="1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customHeight="1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customHeight="1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customHeight="1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customHeight="1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customHeight="1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customHeight="1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customHeight="1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customHeight="1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customHeight="1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customHeight="1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customHeight="1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customHeight="1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customHeight="1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customHeight="1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customHeight="1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customHeight="1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customHeight="1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customHeight="1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customHeight="1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customHeight="1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customHeight="1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customHeight="1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customHeight="1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customHeight="1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customHeight="1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customHeight="1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customHeight="1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customHeight="1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customHeight="1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customHeight="1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customHeight="1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customHeight="1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customHeight="1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customHeight="1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customHeight="1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customHeight="1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customHeight="1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customHeight="1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customHeight="1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customHeight="1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customHeight="1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customHeight="1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customHeight="1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customHeight="1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customHeight="1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customHeight="1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customHeight="1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customHeight="1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customHeight="1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customHeight="1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customHeight="1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customHeight="1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customHeight="1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customHeight="1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customHeight="1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customHeight="1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customHeight="1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customHeight="1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customHeight="1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customHeight="1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customHeight="1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customHeight="1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customHeight="1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customHeight="1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customHeight="1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customHeight="1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customHeight="1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customHeight="1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customHeight="1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customHeight="1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customHeight="1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customHeight="1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customHeight="1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customHeight="1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customHeight="1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customHeight="1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customHeight="1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customHeight="1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customHeight="1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customHeight="1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customHeight="1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customHeight="1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customHeight="1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customHeight="1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customHeight="1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customHeight="1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customHeight="1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customHeight="1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customHeight="1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customHeight="1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customHeight="1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customHeight="1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customHeight="1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customHeight="1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customHeight="1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customHeight="1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customHeight="1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customHeight="1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customHeight="1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customHeight="1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customHeight="1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customHeight="1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customHeight="1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customHeight="1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customHeight="1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customHeight="1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customHeight="1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customHeight="1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customHeight="1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customHeight="1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customHeight="1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customHeight="1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customHeight="1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customHeight="1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customHeight="1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customHeight="1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customHeight="1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customHeight="1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customHeight="1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customHeight="1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customHeight="1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customHeight="1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customHeight="1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customHeight="1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customHeight="1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customHeight="1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customHeight="1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customHeight="1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customHeight="1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customHeight="1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customHeight="1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customHeight="1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customHeight="1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customHeight="1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customHeight="1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customHeight="1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customHeight="1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customHeight="1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749992370372631"/>
  </sheetPr>
  <dimension ref="A3:E42"/>
  <sheetViews>
    <sheetView showGridLines="0" workbookViewId="0">
      <selection activeCell="J33" sqref="J33"/>
    </sheetView>
  </sheetViews>
  <sheetFormatPr defaultRowHeight="14.25"/>
  <cols>
    <col min="1" max="1" width="18" customWidth="1"/>
    <col min="2" max="2" width="21.75" customWidth="1"/>
    <col min="3" max="3" width="7.875" customWidth="1"/>
    <col min="4" max="4" width="9.125" customWidth="1"/>
    <col min="5" max="5" width="10.75" customWidth="1"/>
    <col min="6" max="6" width="9.25" customWidth="1"/>
    <col min="7" max="7" width="10.75" customWidth="1"/>
    <col min="8" max="9" width="9.25" customWidth="1"/>
    <col min="10" max="10" width="10.75" customWidth="1"/>
    <col min="11" max="11" width="35.125" bestFit="1" customWidth="1"/>
    <col min="12" max="15" width="9.75" bestFit="1" customWidth="1"/>
    <col min="16" max="16" width="15.625" bestFit="1" customWidth="1"/>
    <col min="17" max="17" width="12.125" bestFit="1" customWidth="1"/>
  </cols>
  <sheetData>
    <row r="3" spans="1:2" ht="15">
      <c r="A3" t="s">
        <v>317</v>
      </c>
    </row>
    <row r="4" spans="1:2" ht="15">
      <c r="A4" t="s">
        <v>319</v>
      </c>
    </row>
    <row r="5" spans="1:2" ht="15">
      <c r="A5" t="s">
        <v>325</v>
      </c>
    </row>
    <row r="8" spans="1:2">
      <c r="A8" s="12" t="s">
        <v>16</v>
      </c>
      <c r="B8" t="s">
        <v>27</v>
      </c>
    </row>
    <row r="10" spans="1:2">
      <c r="A10" s="12" t="s">
        <v>313</v>
      </c>
      <c r="B10" t="s">
        <v>315</v>
      </c>
    </row>
    <row r="11" spans="1:2">
      <c r="A11" s="13" t="s">
        <v>22</v>
      </c>
      <c r="B11" s="14">
        <v>132</v>
      </c>
    </row>
    <row r="12" spans="1:2">
      <c r="A12" s="13" t="s">
        <v>26</v>
      </c>
      <c r="B12" s="14">
        <v>395</v>
      </c>
    </row>
    <row r="13" spans="1:2">
      <c r="A13" s="13" t="s">
        <v>18</v>
      </c>
      <c r="B13" s="14">
        <v>1781</v>
      </c>
    </row>
    <row r="14" spans="1:2">
      <c r="A14" s="13" t="s">
        <v>314</v>
      </c>
      <c r="B14" s="14">
        <v>2308</v>
      </c>
    </row>
    <row r="15" spans="1:2">
      <c r="A15" s="13"/>
      <c r="B15" s="14"/>
    </row>
    <row r="16" spans="1:2">
      <c r="A16" s="13"/>
      <c r="B16" s="14"/>
    </row>
    <row r="17" spans="1:5">
      <c r="A17" s="12" t="s">
        <v>15</v>
      </c>
      <c r="B17" t="s">
        <v>316</v>
      </c>
    </row>
    <row r="19" spans="1:5">
      <c r="A19" s="12" t="s">
        <v>313</v>
      </c>
      <c r="B19" t="s">
        <v>315</v>
      </c>
    </row>
    <row r="20" spans="1:5">
      <c r="A20" s="13" t="s">
        <v>22</v>
      </c>
      <c r="B20" s="14">
        <v>444</v>
      </c>
    </row>
    <row r="21" spans="1:5">
      <c r="A21" s="13" t="s">
        <v>26</v>
      </c>
      <c r="B21" s="14">
        <v>1801</v>
      </c>
    </row>
    <row r="22" spans="1:5">
      <c r="A22" s="13" t="s">
        <v>18</v>
      </c>
      <c r="B22" s="14">
        <v>5388</v>
      </c>
    </row>
    <row r="23" spans="1:5">
      <c r="A23" s="13" t="s">
        <v>314</v>
      </c>
      <c r="B23" s="14">
        <v>7633</v>
      </c>
    </row>
    <row r="26" spans="1:5">
      <c r="A26" s="12" t="s">
        <v>16</v>
      </c>
      <c r="B26" t="s">
        <v>27</v>
      </c>
      <c r="E26" s="24">
        <f>GETPIVOTDATA("Total Value",$A$10)</f>
        <v>2308</v>
      </c>
    </row>
    <row r="28" spans="1:5">
      <c r="A28" s="12" t="s">
        <v>313</v>
      </c>
      <c r="B28" t="s">
        <v>318</v>
      </c>
    </row>
    <row r="29" spans="1:5">
      <c r="A29" s="13" t="s">
        <v>22</v>
      </c>
      <c r="B29" s="14">
        <v>8</v>
      </c>
    </row>
    <row r="30" spans="1:5">
      <c r="A30" s="13" t="s">
        <v>26</v>
      </c>
      <c r="B30" s="14">
        <v>325</v>
      </c>
    </row>
    <row r="31" spans="1:5">
      <c r="A31" s="13" t="s">
        <v>18</v>
      </c>
      <c r="B31" s="14">
        <v>364</v>
      </c>
      <c r="E31" s="24">
        <f>GETPIVOTDATA("Coupon Value",$A$28)</f>
        <v>697</v>
      </c>
    </row>
    <row r="32" spans="1:5">
      <c r="A32" s="13" t="s">
        <v>314</v>
      </c>
      <c r="B32" s="14">
        <v>697</v>
      </c>
    </row>
    <row r="39" spans="1:2">
      <c r="A39" s="13"/>
      <c r="B39" s="14"/>
    </row>
    <row r="40" spans="1:2">
      <c r="A40" s="13"/>
      <c r="B40" s="14"/>
    </row>
    <row r="41" spans="1:2">
      <c r="A41" s="13"/>
      <c r="B41" s="14"/>
    </row>
    <row r="42" spans="1:2">
      <c r="A42" s="13"/>
      <c r="B42" s="14"/>
    </row>
  </sheetData>
  <pageMargins left="0.511811024" right="0.511811024" top="0.78740157499999996" bottom="0.78740157499999996" header="0.31496062000000002" footer="0.31496062000000002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05"/>
  <sheetViews>
    <sheetView showGridLines="0" showRowColHeaders="0" tabSelected="1" zoomScale="80" zoomScaleNormal="80" workbookViewId="0">
      <selection activeCell="G43" sqref="G43"/>
    </sheetView>
  </sheetViews>
  <sheetFormatPr defaultRowHeight="14.25"/>
  <cols>
    <col min="1" max="1" width="29.125" style="19" customWidth="1"/>
    <col min="2" max="2" width="3.625" customWidth="1"/>
    <col min="3" max="3" width="146.875" customWidth="1"/>
    <col min="12" max="12" width="6.625" customWidth="1"/>
  </cols>
  <sheetData>
    <row r="2" spans="1:6" ht="39" customHeight="1">
      <c r="C2" s="20" t="s">
        <v>324</v>
      </c>
    </row>
    <row r="3" spans="1:6" ht="8.25" customHeight="1">
      <c r="B3" s="17"/>
      <c r="C3" s="25"/>
    </row>
    <row r="4" spans="1:6" s="21" customFormat="1" ht="7.5" customHeight="1">
      <c r="A4" s="19"/>
    </row>
    <row r="5" spans="1:6" s="21" customFormat="1" ht="10.5" customHeight="1">
      <c r="A5" s="19"/>
      <c r="C5" s="22" t="s">
        <v>326</v>
      </c>
    </row>
    <row r="6" spans="1:6" s="21" customFormat="1" ht="9.75" customHeight="1">
      <c r="A6" s="19"/>
    </row>
    <row r="7" spans="1:6" s="21" customFormat="1" ht="33" customHeight="1">
      <c r="A7" s="19"/>
      <c r="F7" s="23"/>
    </row>
    <row r="8" spans="1:6" s="21" customFormat="1">
      <c r="A8" s="19"/>
    </row>
    <row r="9" spans="1:6" s="21" customFormat="1">
      <c r="A9" s="19"/>
    </row>
    <row r="10" spans="1:6" s="21" customFormat="1">
      <c r="A10" s="19"/>
    </row>
    <row r="11" spans="1:6" s="21" customFormat="1">
      <c r="A11" s="19"/>
    </row>
    <row r="12" spans="1:6" s="21" customFormat="1">
      <c r="A12" s="19"/>
    </row>
    <row r="13" spans="1:6" s="21" customFormat="1">
      <c r="A13" s="19"/>
    </row>
    <row r="14" spans="1:6" s="21" customFormat="1">
      <c r="A14" s="19"/>
    </row>
    <row r="15" spans="1:6" s="21" customFormat="1">
      <c r="A15" s="19"/>
    </row>
    <row r="16" spans="1:6" s="21" customFormat="1">
      <c r="A16" s="19"/>
    </row>
    <row r="17" spans="1:1" s="21" customFormat="1">
      <c r="A17" s="19"/>
    </row>
    <row r="18" spans="1:1" s="21" customFormat="1">
      <c r="A18" s="19"/>
    </row>
    <row r="19" spans="1:1" s="21" customFormat="1">
      <c r="A19" s="19"/>
    </row>
    <row r="20" spans="1:1" s="21" customFormat="1">
      <c r="A20" s="19"/>
    </row>
    <row r="21" spans="1:1" s="21" customFormat="1">
      <c r="A21" s="19"/>
    </row>
    <row r="22" spans="1:1" s="21" customFormat="1">
      <c r="A22" s="19"/>
    </row>
    <row r="23" spans="1:1" s="21" customFormat="1">
      <c r="A23" s="19"/>
    </row>
    <row r="24" spans="1:1" s="21" customFormat="1">
      <c r="A24" s="19"/>
    </row>
    <row r="25" spans="1:1" s="21" customFormat="1">
      <c r="A25" s="19"/>
    </row>
    <row r="26" spans="1:1" s="21" customFormat="1">
      <c r="A26" s="19"/>
    </row>
    <row r="27" spans="1:1" s="21" customFormat="1">
      <c r="A27" s="19"/>
    </row>
    <row r="28" spans="1:1" s="21" customFormat="1">
      <c r="A28" s="19"/>
    </row>
    <row r="29" spans="1:1" s="21" customFormat="1">
      <c r="A29" s="19"/>
    </row>
    <row r="30" spans="1:1" s="21" customFormat="1">
      <c r="A30" s="19"/>
    </row>
    <row r="31" spans="1:1" s="21" customFormat="1">
      <c r="A31" s="19"/>
    </row>
    <row r="32" spans="1:1" s="21" customFormat="1">
      <c r="A32" s="19"/>
    </row>
    <row r="33" spans="1:1" s="21" customFormat="1">
      <c r="A33" s="19"/>
    </row>
    <row r="34" spans="1:1" s="21" customFormat="1">
      <c r="A34" s="19"/>
    </row>
    <row r="35" spans="1:1" s="21" customFormat="1">
      <c r="A35" s="19"/>
    </row>
    <row r="36" spans="1:1" s="21" customFormat="1">
      <c r="A36" s="19"/>
    </row>
    <row r="37" spans="1:1" s="21" customFormat="1">
      <c r="A37" s="19"/>
    </row>
    <row r="38" spans="1:1" s="21" customFormat="1">
      <c r="A38" s="19"/>
    </row>
    <row r="39" spans="1:1" s="21" customFormat="1">
      <c r="A39" s="19"/>
    </row>
    <row r="40" spans="1:1" s="21" customFormat="1">
      <c r="A40" s="19"/>
    </row>
    <row r="41" spans="1:1" s="21" customFormat="1">
      <c r="A41" s="19"/>
    </row>
    <row r="42" spans="1:1" s="21" customFormat="1">
      <c r="A42" s="19"/>
    </row>
    <row r="43" spans="1:1" s="21" customFormat="1">
      <c r="A43" s="19"/>
    </row>
    <row r="44" spans="1:1" s="21" customFormat="1">
      <c r="A44" s="19"/>
    </row>
    <row r="45" spans="1:1" s="21" customFormat="1">
      <c r="A45" s="19"/>
    </row>
    <row r="46" spans="1:1" s="21" customFormat="1">
      <c r="A46" s="19"/>
    </row>
    <row r="47" spans="1:1" s="21" customFormat="1">
      <c r="A47" s="19"/>
    </row>
    <row r="48" spans="1:1" s="21" customFormat="1">
      <c r="A48" s="19"/>
    </row>
    <row r="49" spans="1:1" s="21" customFormat="1">
      <c r="A49" s="19"/>
    </row>
    <row r="50" spans="1:1" s="21" customFormat="1">
      <c r="A50" s="19"/>
    </row>
    <row r="51" spans="1:1" s="21" customFormat="1">
      <c r="A51" s="19"/>
    </row>
    <row r="52" spans="1:1" s="21" customFormat="1">
      <c r="A52" s="19"/>
    </row>
    <row r="53" spans="1:1" s="21" customFormat="1">
      <c r="A53" s="19"/>
    </row>
    <row r="54" spans="1:1" s="21" customFormat="1">
      <c r="A54" s="19"/>
    </row>
    <row r="55" spans="1:1" s="21" customFormat="1">
      <c r="A55" s="19"/>
    </row>
    <row r="56" spans="1:1" s="21" customFormat="1">
      <c r="A56" s="19"/>
    </row>
    <row r="57" spans="1:1" s="21" customFormat="1">
      <c r="A57" s="19"/>
    </row>
    <row r="58" spans="1:1" s="21" customFormat="1">
      <c r="A58" s="19"/>
    </row>
    <row r="59" spans="1:1" s="21" customFormat="1">
      <c r="A59" s="19"/>
    </row>
    <row r="60" spans="1:1" s="21" customFormat="1">
      <c r="A60" s="19"/>
    </row>
    <row r="61" spans="1:1" s="21" customFormat="1">
      <c r="A61" s="19"/>
    </row>
    <row r="62" spans="1:1" s="21" customFormat="1">
      <c r="A62" s="19"/>
    </row>
    <row r="63" spans="1:1" s="21" customFormat="1">
      <c r="A63" s="19"/>
    </row>
    <row r="64" spans="1:1" s="21" customFormat="1">
      <c r="A64" s="19"/>
    </row>
    <row r="65" spans="1:1" s="21" customFormat="1">
      <c r="A65" s="19"/>
    </row>
    <row r="66" spans="1:1" s="21" customFormat="1">
      <c r="A66" s="19"/>
    </row>
    <row r="67" spans="1:1" s="21" customFormat="1">
      <c r="A67" s="19"/>
    </row>
    <row r="68" spans="1:1" s="21" customFormat="1">
      <c r="A68" s="19"/>
    </row>
    <row r="69" spans="1:1" s="21" customFormat="1">
      <c r="A69" s="19"/>
    </row>
    <row r="70" spans="1:1" s="21" customFormat="1">
      <c r="A70" s="19"/>
    </row>
    <row r="71" spans="1:1" s="21" customFormat="1">
      <c r="A71" s="19"/>
    </row>
    <row r="72" spans="1:1" s="21" customFormat="1">
      <c r="A72" s="19"/>
    </row>
    <row r="73" spans="1:1" s="21" customFormat="1">
      <c r="A73" s="19"/>
    </row>
    <row r="74" spans="1:1" s="21" customFormat="1">
      <c r="A74" s="19"/>
    </row>
    <row r="75" spans="1:1" s="21" customFormat="1">
      <c r="A75" s="19"/>
    </row>
    <row r="76" spans="1:1" s="21" customFormat="1">
      <c r="A76" s="19"/>
    </row>
    <row r="77" spans="1:1" s="21" customFormat="1">
      <c r="A77" s="19"/>
    </row>
    <row r="78" spans="1:1" s="21" customFormat="1">
      <c r="A78" s="19"/>
    </row>
    <row r="79" spans="1:1" s="21" customFormat="1">
      <c r="A79" s="19"/>
    </row>
    <row r="80" spans="1:1" s="21" customFormat="1">
      <c r="A80" s="19"/>
    </row>
    <row r="81" spans="1:1" s="21" customFormat="1">
      <c r="A81" s="19"/>
    </row>
    <row r="82" spans="1:1" s="21" customFormat="1">
      <c r="A82" s="19"/>
    </row>
    <row r="83" spans="1:1" s="21" customFormat="1">
      <c r="A83" s="19"/>
    </row>
    <row r="84" spans="1:1" s="21" customFormat="1">
      <c r="A84" s="19"/>
    </row>
    <row r="85" spans="1:1" s="21" customFormat="1">
      <c r="A85" s="19"/>
    </row>
    <row r="86" spans="1:1" s="21" customFormat="1">
      <c r="A86" s="19"/>
    </row>
    <row r="87" spans="1:1" s="21" customFormat="1">
      <c r="A87" s="19"/>
    </row>
    <row r="88" spans="1:1" s="21" customFormat="1">
      <c r="A88" s="19"/>
    </row>
    <row r="89" spans="1:1" s="21" customFormat="1">
      <c r="A89" s="19"/>
    </row>
    <row r="90" spans="1:1" s="21" customFormat="1">
      <c r="A90" s="19"/>
    </row>
    <row r="91" spans="1:1" s="21" customFormat="1">
      <c r="A91" s="19"/>
    </row>
    <row r="92" spans="1:1" s="21" customFormat="1">
      <c r="A92" s="19"/>
    </row>
    <row r="93" spans="1:1" s="21" customFormat="1">
      <c r="A93" s="19"/>
    </row>
    <row r="94" spans="1:1" s="21" customFormat="1">
      <c r="A94" s="19"/>
    </row>
    <row r="95" spans="1:1" s="21" customFormat="1">
      <c r="A95" s="19"/>
    </row>
    <row r="96" spans="1:1" s="21" customFormat="1">
      <c r="A96" s="19"/>
    </row>
    <row r="97" spans="1:1" s="21" customFormat="1">
      <c r="A97" s="19"/>
    </row>
    <row r="98" spans="1:1" s="21" customFormat="1">
      <c r="A98" s="19"/>
    </row>
    <row r="99" spans="1:1" s="21" customFormat="1">
      <c r="A99" s="19"/>
    </row>
    <row r="100" spans="1:1" s="21" customFormat="1">
      <c r="A100" s="19"/>
    </row>
    <row r="101" spans="1:1" s="21" customFormat="1">
      <c r="A101" s="19"/>
    </row>
    <row r="102" spans="1:1" s="21" customFormat="1">
      <c r="A102" s="19"/>
    </row>
    <row r="103" spans="1:1" s="21" customFormat="1">
      <c r="A103" s="19"/>
    </row>
    <row r="104" spans="1:1" s="21" customFormat="1">
      <c r="A104" s="19"/>
    </row>
    <row r="105" spans="1:1" s="21" customFormat="1">
      <c r="A105" s="19"/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FD3D529-BCD3-4ECD-9B2A-42924892FFCB}">
  <ds:schemaRefs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851b35d3-0456-4d6a-bc2f-da927e91d158"/>
    <ds:schemaRef ds:uri="http://purl.org/dc/elements/1.1/"/>
    <ds:schemaRef ds:uri="http://schemas.microsoft.com/office/2006/metadata/properties"/>
    <ds:schemaRef ds:uri="19483571-f922-4e8e-9c1c-26f0a2252132"/>
    <ds:schemaRef ds:uri="http://purl.org/dc/terms/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Windows10</cp:lastModifiedBy>
  <dcterms:created xsi:type="dcterms:W3CDTF">2024-12-19T13:13:10Z</dcterms:created>
  <dcterms:modified xsi:type="dcterms:W3CDTF">2026-05-26T20:01:43Z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